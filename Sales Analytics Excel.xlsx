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Frank\Downloads\EXCEL\MY PROJECTS\"/>
    </mc:Choice>
  </mc:AlternateContent>
  <xr:revisionPtr revIDLastSave="0" documentId="13_ncr:1_{DCD8888F-3F63-4790-BCAE-7048118BD4CC}" xr6:coauthVersionLast="47" xr6:coauthVersionMax="47" xr10:uidLastSave="{00000000-0000-0000-0000-000000000000}"/>
  <bookViews>
    <workbookView xWindow="-108" yWindow="-108" windowWidth="23256" windowHeight="12456" activeTab="2" xr2:uid="{FA3E93D3-DA01-4F70-83C1-7569FE46736B}"/>
  </bookViews>
  <sheets>
    <sheet name="DATASET" sheetId="5" r:id="rId1"/>
    <sheet name="PIVOT TABLES &amp; KPIs" sheetId="4" r:id="rId2"/>
    <sheet name="DASHBOARD" sheetId="1" r:id="rId3"/>
  </sheets>
  <externalReferences>
    <externalReference r:id="rId4"/>
  </externalReferences>
  <definedNames>
    <definedName name="Cost">'PIVOT TABLES &amp; KPIs'!$B$13</definedName>
    <definedName name="dateee">[1]CALCULATIONS!$C$2</definedName>
    <definedName name="Profit">'PIVOT TABLES &amp; KPIs'!$B$14</definedName>
    <definedName name="profit_margin">'PIVOT TABLES &amp; KPIs'!$G$3</definedName>
    <definedName name="profitm">'PIVOT TABLES &amp; KPIs'!$G$3</definedName>
    <definedName name="Qty">'PIVOT TABLES &amp; KPIs'!$B$12</definedName>
    <definedName name="Sales">'PIVOT TABLES &amp; KPIs'!$B$11</definedName>
    <definedName name="Sales_Data">Table2[#All]</definedName>
    <definedName name="Slicer_Category">#N/A</definedName>
    <definedName name="Tdate">'PIVOT TABLES &amp; KPIs'!$A$1</definedName>
    <definedName name="YOYcost">'PIVOT TABLES &amp; KPIs'!$E$13</definedName>
    <definedName name="YOYprofit">'PIVOT TABLES &amp; KPIs'!$E$14</definedName>
    <definedName name="YOYqty">'PIVOT TABLES &amp; KPIs'!$E$12</definedName>
    <definedName name="YOYsales">'PIVOT TABLES &amp; KPIs'!$E$11</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 i="4" l="1"/>
  <c r="B11" i="4"/>
  <c r="C11" i="4"/>
  <c r="D11" i="4"/>
  <c r="E11" i="4" s="1"/>
  <c r="B12" i="4"/>
  <c r="C12" i="4"/>
  <c r="D12" i="4"/>
  <c r="E12" i="4" s="1"/>
  <c r="B13" i="4"/>
  <c r="C13" i="4"/>
  <c r="D13" i="4"/>
  <c r="E13" i="4" s="1"/>
  <c r="B14" i="4"/>
  <c r="C14" i="4"/>
  <c r="G3" i="4" l="1"/>
  <c r="D14" i="4"/>
  <c r="E14" i="4" s="1"/>
</calcChain>
</file>

<file path=xl/sharedStrings.xml><?xml version="1.0" encoding="utf-8"?>
<sst xmlns="http://schemas.openxmlformats.org/spreadsheetml/2006/main" count="1320" uniqueCount="360">
  <si>
    <t>Grand Total</t>
  </si>
  <si>
    <t>Printer</t>
  </si>
  <si>
    <t>Mouse</t>
  </si>
  <si>
    <t>Monitor</t>
  </si>
  <si>
    <t>Laptop</t>
  </si>
  <si>
    <t>Keyboard</t>
  </si>
  <si>
    <t>Headphones</t>
  </si>
  <si>
    <t>2024</t>
  </si>
  <si>
    <t>2023</t>
  </si>
  <si>
    <t>Row Labels</t>
  </si>
  <si>
    <t>Column Labels</t>
  </si>
  <si>
    <t>Sum of Sales</t>
  </si>
  <si>
    <t>PRODUCT</t>
  </si>
  <si>
    <t>Dec</t>
  </si>
  <si>
    <t>Nov</t>
  </si>
  <si>
    <t>Oct</t>
  </si>
  <si>
    <t>Sep</t>
  </si>
  <si>
    <t>Aug</t>
  </si>
  <si>
    <t>Jul</t>
  </si>
  <si>
    <t>Jun</t>
  </si>
  <si>
    <t>May</t>
  </si>
  <si>
    <t>Apr</t>
  </si>
  <si>
    <t>Mar</t>
  </si>
  <si>
    <t>Feb</t>
  </si>
  <si>
    <t>Jan</t>
  </si>
  <si>
    <t>SALES TREND</t>
  </si>
  <si>
    <t>Profit</t>
  </si>
  <si>
    <t>Cost</t>
  </si>
  <si>
    <t>Qty</t>
  </si>
  <si>
    <t>Sales</t>
  </si>
  <si>
    <t>YOY</t>
  </si>
  <si>
    <t>PY</t>
  </si>
  <si>
    <t>CY</t>
  </si>
  <si>
    <t>KEY PERFORMANCE INDICATORS</t>
  </si>
  <si>
    <t>Sum of Profit</t>
  </si>
  <si>
    <t>Sum of Cost</t>
  </si>
  <si>
    <t>Sum of Quantity</t>
  </si>
  <si>
    <t>West</t>
  </si>
  <si>
    <t>Accessories</t>
  </si>
  <si>
    <t>ORD0300</t>
  </si>
  <si>
    <t>Electronics</t>
  </si>
  <si>
    <t>ORD0299</t>
  </si>
  <si>
    <t>North</t>
  </si>
  <si>
    <t>ORD0298</t>
  </si>
  <si>
    <t>South</t>
  </si>
  <si>
    <t>ORD0297</t>
  </si>
  <si>
    <t>ORD0296</t>
  </si>
  <si>
    <t>ORD0295</t>
  </si>
  <si>
    <t>ORD0294</t>
  </si>
  <si>
    <t>ORD0293</t>
  </si>
  <si>
    <t>ORD0292</t>
  </si>
  <si>
    <t>ORD0291</t>
  </si>
  <si>
    <t>East</t>
  </si>
  <si>
    <t>ORD0290</t>
  </si>
  <si>
    <t>ORD0289</t>
  </si>
  <si>
    <t>ORD0288</t>
  </si>
  <si>
    <t>ORD0287</t>
  </si>
  <si>
    <t>ORD0286</t>
  </si>
  <si>
    <t>ORD0285</t>
  </si>
  <si>
    <t>ORD0284</t>
  </si>
  <si>
    <t>ORD0283</t>
  </si>
  <si>
    <t>ORD0282</t>
  </si>
  <si>
    <t>ORD0281</t>
  </si>
  <si>
    <t>ORD0280</t>
  </si>
  <si>
    <t>ORD0279</t>
  </si>
  <si>
    <t>ORD0278</t>
  </si>
  <si>
    <t>ORD0277</t>
  </si>
  <si>
    <t>ORD0276</t>
  </si>
  <si>
    <t>ORD0275</t>
  </si>
  <si>
    <t>ORD0274</t>
  </si>
  <si>
    <t>ORD0273</t>
  </si>
  <si>
    <t>ORD0272</t>
  </si>
  <si>
    <t>ORD0271</t>
  </si>
  <si>
    <t>ORD0270</t>
  </si>
  <si>
    <t>ORD0269</t>
  </si>
  <si>
    <t>ORD0268</t>
  </si>
  <si>
    <t>ORD0267</t>
  </si>
  <si>
    <t>ORD0266</t>
  </si>
  <si>
    <t>ORD0265</t>
  </si>
  <si>
    <t>ORD0264</t>
  </si>
  <si>
    <t>ORD0263</t>
  </si>
  <si>
    <t>ORD0262</t>
  </si>
  <si>
    <t>ORD0261</t>
  </si>
  <si>
    <t>ORD0260</t>
  </si>
  <si>
    <t>ORD0259</t>
  </si>
  <si>
    <t>ORD0258</t>
  </si>
  <si>
    <t>ORD0257</t>
  </si>
  <si>
    <t>ORD0256</t>
  </si>
  <si>
    <t>ORD0255</t>
  </si>
  <si>
    <t>ORD0254</t>
  </si>
  <si>
    <t>ORD0253</t>
  </si>
  <si>
    <t>ORD0252</t>
  </si>
  <si>
    <t>ORD0251</t>
  </si>
  <si>
    <t>ORD0250</t>
  </si>
  <si>
    <t>ORD0249</t>
  </si>
  <si>
    <t>ORD0248</t>
  </si>
  <si>
    <t>ORD0247</t>
  </si>
  <si>
    <t>ORD0246</t>
  </si>
  <si>
    <t>ORD0245</t>
  </si>
  <si>
    <t>ORD0244</t>
  </si>
  <si>
    <t>ORD0243</t>
  </si>
  <si>
    <t>ORD0242</t>
  </si>
  <si>
    <t>ORD0241</t>
  </si>
  <si>
    <t>ORD0240</t>
  </si>
  <si>
    <t>ORD0239</t>
  </si>
  <si>
    <t>ORD0238</t>
  </si>
  <si>
    <t>ORD0237</t>
  </si>
  <si>
    <t>ORD0236</t>
  </si>
  <si>
    <t>ORD0235</t>
  </si>
  <si>
    <t>ORD0234</t>
  </si>
  <si>
    <t>ORD0233</t>
  </si>
  <si>
    <t>ORD0232</t>
  </si>
  <si>
    <t>ORD0231</t>
  </si>
  <si>
    <t>ORD0230</t>
  </si>
  <si>
    <t>ORD0229</t>
  </si>
  <si>
    <t>ORD0228</t>
  </si>
  <si>
    <t>ORD0227</t>
  </si>
  <si>
    <t>ORD0226</t>
  </si>
  <si>
    <t>ORD0225</t>
  </si>
  <si>
    <t>ORD0224</t>
  </si>
  <si>
    <t>ORD0223</t>
  </si>
  <si>
    <t>ORD0222</t>
  </si>
  <si>
    <t>ORD0221</t>
  </si>
  <si>
    <t>ORD0220</t>
  </si>
  <si>
    <t>ORD0219</t>
  </si>
  <si>
    <t>ORD0218</t>
  </si>
  <si>
    <t>ORD0217</t>
  </si>
  <si>
    <t>ORD0216</t>
  </si>
  <si>
    <t>ORD0215</t>
  </si>
  <si>
    <t>ORD0214</t>
  </si>
  <si>
    <t>ORD0213</t>
  </si>
  <si>
    <t>ORD0212</t>
  </si>
  <si>
    <t>ORD0211</t>
  </si>
  <si>
    <t>ORD0210</t>
  </si>
  <si>
    <t>ORD0209</t>
  </si>
  <si>
    <t>ORD0208</t>
  </si>
  <si>
    <t>ORD0207</t>
  </si>
  <si>
    <t>ORD0206</t>
  </si>
  <si>
    <t>ORD0205</t>
  </si>
  <si>
    <t>ORD0204</t>
  </si>
  <si>
    <t>ORD0203</t>
  </si>
  <si>
    <t>ORD0202</t>
  </si>
  <si>
    <t>ORD0201</t>
  </si>
  <si>
    <t>ORD0200</t>
  </si>
  <si>
    <t>ORD0199</t>
  </si>
  <si>
    <t>ORD0198</t>
  </si>
  <si>
    <t>ORD0197</t>
  </si>
  <si>
    <t>ORD0196</t>
  </si>
  <si>
    <t>ORD0195</t>
  </si>
  <si>
    <t>ORD0194</t>
  </si>
  <si>
    <t>ORD0193</t>
  </si>
  <si>
    <t>ORD0192</t>
  </si>
  <si>
    <t>ORD0191</t>
  </si>
  <si>
    <t>ORD0190</t>
  </si>
  <si>
    <t>ORD0189</t>
  </si>
  <si>
    <t>ORD0188</t>
  </si>
  <si>
    <t>ORD0187</t>
  </si>
  <si>
    <t>ORD0186</t>
  </si>
  <si>
    <t>ORD0185</t>
  </si>
  <si>
    <t>ORD0184</t>
  </si>
  <si>
    <t>ORD0183</t>
  </si>
  <si>
    <t>ORD0182</t>
  </si>
  <si>
    <t>ORD0181</t>
  </si>
  <si>
    <t>ORD0180</t>
  </si>
  <si>
    <t>ORD0179</t>
  </si>
  <si>
    <t>ORD0178</t>
  </si>
  <si>
    <t>ORD0177</t>
  </si>
  <si>
    <t>ORD0176</t>
  </si>
  <si>
    <t>ORD0175</t>
  </si>
  <si>
    <t>ORD0174</t>
  </si>
  <si>
    <t>ORD0173</t>
  </si>
  <si>
    <t>ORD0172</t>
  </si>
  <si>
    <t>ORD0171</t>
  </si>
  <si>
    <t>ORD0170</t>
  </si>
  <si>
    <t>ORD0169</t>
  </si>
  <si>
    <t>ORD0168</t>
  </si>
  <si>
    <t>ORD0167</t>
  </si>
  <si>
    <t>ORD0166</t>
  </si>
  <si>
    <t>ORD0165</t>
  </si>
  <si>
    <t>ORD0164</t>
  </si>
  <si>
    <t>ORD0163</t>
  </si>
  <si>
    <t>ORD0162</t>
  </si>
  <si>
    <t>ORD0161</t>
  </si>
  <si>
    <t>ORD0160</t>
  </si>
  <si>
    <t>ORD0159</t>
  </si>
  <si>
    <t>ORD0158</t>
  </si>
  <si>
    <t>ORD0157</t>
  </si>
  <si>
    <t>ORD0156</t>
  </si>
  <si>
    <t>ORD0155</t>
  </si>
  <si>
    <t>ORD0154</t>
  </si>
  <si>
    <t>ORD0153</t>
  </si>
  <si>
    <t>ORD0152</t>
  </si>
  <si>
    <t>ORD0151</t>
  </si>
  <si>
    <t>ORD0150</t>
  </si>
  <si>
    <t>ORD0149</t>
  </si>
  <si>
    <t>ORD0148</t>
  </si>
  <si>
    <t>ORD0147</t>
  </si>
  <si>
    <t>ORD0146</t>
  </si>
  <si>
    <t>ORD0145</t>
  </si>
  <si>
    <t>ORD0144</t>
  </si>
  <si>
    <t>ORD0143</t>
  </si>
  <si>
    <t>ORD0142</t>
  </si>
  <si>
    <t>ORD0141</t>
  </si>
  <si>
    <t>ORD0140</t>
  </si>
  <si>
    <t>ORD0139</t>
  </si>
  <si>
    <t>ORD0138</t>
  </si>
  <si>
    <t>ORD0137</t>
  </si>
  <si>
    <t>ORD0136</t>
  </si>
  <si>
    <t>ORD0135</t>
  </si>
  <si>
    <t>ORD0134</t>
  </si>
  <si>
    <t>ORD0133</t>
  </si>
  <si>
    <t>ORD0132</t>
  </si>
  <si>
    <t>ORD0131</t>
  </si>
  <si>
    <t>ORD0130</t>
  </si>
  <si>
    <t>ORD0129</t>
  </si>
  <si>
    <t>ORD0128</t>
  </si>
  <si>
    <t>ORD0127</t>
  </si>
  <si>
    <t>ORD0126</t>
  </si>
  <si>
    <t>ORD0125</t>
  </si>
  <si>
    <t>ORD0124</t>
  </si>
  <si>
    <t>ORD0123</t>
  </si>
  <si>
    <t>ORD0122</t>
  </si>
  <si>
    <t>ORD0121</t>
  </si>
  <si>
    <t>ORD0120</t>
  </si>
  <si>
    <t>ORD0119</t>
  </si>
  <si>
    <t>ORD0118</t>
  </si>
  <si>
    <t>ORD0117</t>
  </si>
  <si>
    <t>ORD0116</t>
  </si>
  <si>
    <t>ORD0115</t>
  </si>
  <si>
    <t>ORD0114</t>
  </si>
  <si>
    <t>ORD0113</t>
  </si>
  <si>
    <t>ORD0112</t>
  </si>
  <si>
    <t>ORD0111</t>
  </si>
  <si>
    <t>ORD0110</t>
  </si>
  <si>
    <t>ORD0109</t>
  </si>
  <si>
    <t>ORD0108</t>
  </si>
  <si>
    <t>ORD0107</t>
  </si>
  <si>
    <t>ORD0106</t>
  </si>
  <si>
    <t>ORD0105</t>
  </si>
  <si>
    <t>ORD0104</t>
  </si>
  <si>
    <t>ORD0103</t>
  </si>
  <si>
    <t>ORD0102</t>
  </si>
  <si>
    <t>ORD0101</t>
  </si>
  <si>
    <t>ORD0100</t>
  </si>
  <si>
    <t>ORD0099</t>
  </si>
  <si>
    <t>ORD0098</t>
  </si>
  <si>
    <t>ORD0097</t>
  </si>
  <si>
    <t>ORD0096</t>
  </si>
  <si>
    <t>ORD0095</t>
  </si>
  <si>
    <t>ORD0094</t>
  </si>
  <si>
    <t>ORD0093</t>
  </si>
  <si>
    <t>ORD0092</t>
  </si>
  <si>
    <t>ORD0091</t>
  </si>
  <si>
    <t>ORD0090</t>
  </si>
  <si>
    <t>ORD0089</t>
  </si>
  <si>
    <t>ORD0088</t>
  </si>
  <si>
    <t>ORD0087</t>
  </si>
  <si>
    <t>ORD0086</t>
  </si>
  <si>
    <t>ORD0085</t>
  </si>
  <si>
    <t>ORD0084</t>
  </si>
  <si>
    <t>ORD0083</t>
  </si>
  <si>
    <t>ORD0082</t>
  </si>
  <si>
    <t>ORD0081</t>
  </si>
  <si>
    <t>ORD0080</t>
  </si>
  <si>
    <t>ORD0079</t>
  </si>
  <si>
    <t>ORD0078</t>
  </si>
  <si>
    <t>ORD0077</t>
  </si>
  <si>
    <t>ORD0076</t>
  </si>
  <si>
    <t>ORD0075</t>
  </si>
  <si>
    <t>ORD0074</t>
  </si>
  <si>
    <t>ORD0073</t>
  </si>
  <si>
    <t>ORD0072</t>
  </si>
  <si>
    <t>ORD0071</t>
  </si>
  <si>
    <t>ORD0070</t>
  </si>
  <si>
    <t>ORD0069</t>
  </si>
  <si>
    <t>ORD0068</t>
  </si>
  <si>
    <t>ORD0067</t>
  </si>
  <si>
    <t>ORD0066</t>
  </si>
  <si>
    <t>ORD0065</t>
  </si>
  <si>
    <t>ORD0064</t>
  </si>
  <si>
    <t>ORD0063</t>
  </si>
  <si>
    <t>ORD0062</t>
  </si>
  <si>
    <t>ORD0061</t>
  </si>
  <si>
    <t>ORD0060</t>
  </si>
  <si>
    <t>ORD0059</t>
  </si>
  <si>
    <t>ORD0058</t>
  </si>
  <si>
    <t>ORD0057</t>
  </si>
  <si>
    <t>ORD0056</t>
  </si>
  <si>
    <t>ORD0055</t>
  </si>
  <si>
    <t>ORD0054</t>
  </si>
  <si>
    <t>ORD0053</t>
  </si>
  <si>
    <t>ORD0052</t>
  </si>
  <si>
    <t>ORD0051</t>
  </si>
  <si>
    <t>ORD0050</t>
  </si>
  <si>
    <t>ORD0049</t>
  </si>
  <si>
    <t>ORD0048</t>
  </si>
  <si>
    <t>ORD0047</t>
  </si>
  <si>
    <t>ORD0046</t>
  </si>
  <si>
    <t>ORD0045</t>
  </si>
  <si>
    <t>ORD0044</t>
  </si>
  <si>
    <t>ORD0043</t>
  </si>
  <si>
    <t>ORD0042</t>
  </si>
  <si>
    <t>ORD0041</t>
  </si>
  <si>
    <t>ORD0040</t>
  </si>
  <si>
    <t>ORD0039</t>
  </si>
  <si>
    <t>ORD0038</t>
  </si>
  <si>
    <t>ORD0037</t>
  </si>
  <si>
    <t>ORD0036</t>
  </si>
  <si>
    <t>ORD0035</t>
  </si>
  <si>
    <t>ORD0034</t>
  </si>
  <si>
    <t>ORD0033</t>
  </si>
  <si>
    <t>ORD0032</t>
  </si>
  <si>
    <t>ORD0031</t>
  </si>
  <si>
    <t>ORD0030</t>
  </si>
  <si>
    <t>ORD0029</t>
  </si>
  <si>
    <t>ORD0028</t>
  </si>
  <si>
    <t>ORD0027</t>
  </si>
  <si>
    <t>ORD0026</t>
  </si>
  <si>
    <t>ORD0025</t>
  </si>
  <si>
    <t>ORD0024</t>
  </si>
  <si>
    <t>ORD0023</t>
  </si>
  <si>
    <t>ORD0022</t>
  </si>
  <si>
    <t>ORD0021</t>
  </si>
  <si>
    <t>ORD0020</t>
  </si>
  <si>
    <t>ORD0019</t>
  </si>
  <si>
    <t>ORD0018</t>
  </si>
  <si>
    <t>ORD0017</t>
  </si>
  <si>
    <t>ORD0016</t>
  </si>
  <si>
    <t>ORD0015</t>
  </si>
  <si>
    <t>ORD0014</t>
  </si>
  <si>
    <t>ORD0013</t>
  </si>
  <si>
    <t>ORD0012</t>
  </si>
  <si>
    <t>ORD0011</t>
  </si>
  <si>
    <t>ORD0010</t>
  </si>
  <si>
    <t>ORD0009</t>
  </si>
  <si>
    <t>ORD0008</t>
  </si>
  <si>
    <t>ORD0007</t>
  </si>
  <si>
    <t>ORD0006</t>
  </si>
  <si>
    <t>ORD0005</t>
  </si>
  <si>
    <t>ORD0004</t>
  </si>
  <si>
    <t>ORD0003</t>
  </si>
  <si>
    <t>ORD0002</t>
  </si>
  <si>
    <t>ORD0001</t>
  </si>
  <si>
    <t>Quantity</t>
  </si>
  <si>
    <t>Region</t>
  </si>
  <si>
    <t>Category</t>
  </si>
  <si>
    <t>Product</t>
  </si>
  <si>
    <t>Date</t>
  </si>
  <si>
    <t>OrderID</t>
  </si>
  <si>
    <t>REGIONS</t>
  </si>
  <si>
    <t>Qtr1</t>
  </si>
  <si>
    <t>Qtr2</t>
  </si>
  <si>
    <t>Qtr3</t>
  </si>
  <si>
    <t>Qtr4</t>
  </si>
  <si>
    <t>SALES QTRS</t>
  </si>
  <si>
    <t>QUANTITY QTRS</t>
  </si>
  <si>
    <t>COST QTRS</t>
  </si>
  <si>
    <t>PROFIT QTRS</t>
  </si>
  <si>
    <t>YOY VIEW ON KPIs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</si>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</sst>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0.0,,&quot;M&quot;;[&gt;=1000]\$0.0,&quot;K&quot;;0"/>
    <numFmt numFmtId="165" formatCode="yyyy\-mm\-dd"/>
    <numFmt numFmtId="166" formatCode="[&gt;=1000000]\$0,,&quot;M&quot;;[&gt;=1000]\$0,&quot;K&quot;;0"/>
    <numFmt numFmtId="167" formatCode="[$-F800]dddd\,\ mmmm\ dd\,\ yyyy"/>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22"/>
      <color rgb="FF05FA10"/>
      <name val="Calibri"/>
      <family val="2"/>
      <scheme val="minor"/>
    </font>
  </fonts>
  <fills count="6">
    <fill>
      <patternFill patternType="none"/>
    </fill>
    <fill>
      <patternFill patternType="gray125"/>
    </fill>
    <fill>
      <patternFill patternType="solid">
        <fgColor rgb="FF919F8E"/>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0" xfId="0" applyFill="1"/>
    <xf numFmtId="164" fontId="0" fillId="0" borderId="0" xfId="0" applyNumberFormat="1"/>
    <xf numFmtId="0" fontId="0" fillId="0" borderId="0" xfId="0" applyAlignment="1">
      <alignment horizontal="left"/>
    </xf>
    <xf numFmtId="0" fontId="0" fillId="0" borderId="0" xfId="0" pivotButton="1"/>
    <xf numFmtId="165" fontId="0" fillId="0" borderId="0" xfId="0" applyNumberFormat="1" applyAlignment="1">
      <alignment horizontal="left"/>
    </xf>
    <xf numFmtId="9" fontId="0" fillId="0" borderId="0" xfId="1" applyFont="1"/>
    <xf numFmtId="165" fontId="0" fillId="0" borderId="0" xfId="0" applyNumberFormat="1"/>
    <xf numFmtId="0" fontId="2" fillId="0" borderId="1" xfId="0" applyFont="1" applyBorder="1" applyAlignment="1">
      <alignment horizontal="center" vertical="top"/>
    </xf>
    <xf numFmtId="0" fontId="0" fillId="0" borderId="0" xfId="0" applyNumberFormat="1"/>
    <xf numFmtId="166" fontId="0" fillId="0" borderId="0" xfId="0" applyNumberFormat="1"/>
    <xf numFmtId="167" fontId="0" fillId="0" borderId="0" xfId="0" applyNumberFormat="1"/>
    <xf numFmtId="0" fontId="0" fillId="3" borderId="0" xfId="0" applyFill="1" applyAlignment="1">
      <alignment horizontal="center"/>
    </xf>
    <xf numFmtId="0" fontId="2" fillId="4" borderId="0" xfId="0" applyFont="1" applyFill="1"/>
    <xf numFmtId="9" fontId="3" fillId="5" borderId="0" xfId="1" applyFont="1" applyFill="1"/>
  </cellXfs>
  <cellStyles count="2">
    <cellStyle name="Normal" xfId="0" builtinId="0"/>
    <cellStyle name="Per cent" xfId="1" builtinId="5"/>
  </cellStyles>
  <dxfs count="18">
    <dxf>
      <numFmt numFmtId="164" formatCode="[&gt;=1000000]\$0.0,,&quot;M&quot;;[&gt;=1000]\$0.0,&quot;K&quot;;0"/>
    </dxf>
    <dxf>
      <numFmt numFmtId="166" formatCode="[&gt;=1000000]\$0,,&quot;M&quot;;[&gt;=1000]\$0,&quot;K&quot;;0"/>
    </dxf>
    <dxf>
      <numFmt numFmtId="164" formatCode="[&gt;=1000000]\$0.0,,&quot;M&quot;;[&gt;=1000]\$0.0,&quot;K&quot;;0"/>
    </dxf>
    <dxf>
      <numFmt numFmtId="164" formatCode="[&gt;=1000000]\$0.0,,&quot;M&quot;;[&gt;=1000]\$0.0,&quot;K&quot;;0"/>
    </dxf>
    <dxf>
      <numFmt numFmtId="166" formatCode="[&gt;=1000000]\$0,,&quot;M&quot;;[&gt;=1000]\$0,&quot;K&quot;;0"/>
    </dxf>
    <dxf>
      <numFmt numFmtId="164" formatCode="[&gt;=1000000]\$0.0,,&quot;M&quot;;[&gt;=1000]\$0.0,&quot;K&quot;;0"/>
    </dxf>
    <dxf>
      <numFmt numFmtId="164" formatCode="[&gt;=1000000]\$0.0,,&quot;M&quot;;[&gt;=1000]\$0.0,&quot;K&quot;;0"/>
    </dxf>
    <dxf>
      <numFmt numFmtId="166" formatCode="[&gt;=1000000]\$0,,&quot;M&quot;;[&gt;=1000]\$0,&quot;K&quot;;0"/>
    </dxf>
    <dxf>
      <numFmt numFmtId="164" formatCode="[&gt;=1000000]\$0.0,,&quot;M&quot;;[&gt;=1000]\$0.0,&quot;K&quot;;0"/>
    </dxf>
    <dxf>
      <numFmt numFmtId="164" formatCode="[&gt;=1000000]\$0.0,,&quot;M&quot;;[&gt;=1000]\$0.0,&quot;K&quot;;0"/>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9"/>
        </bottom>
        <vertical/>
        <horizontal/>
      </border>
    </dxf>
    <dxf>
      <font>
        <color theme="1"/>
      </font>
      <fill>
        <patternFill>
          <fgColor theme="1"/>
        </patternFill>
      </fill>
      <border>
        <left style="thin">
          <color theme="9"/>
        </left>
        <right style="thin">
          <color theme="9"/>
        </right>
        <top style="thin">
          <color theme="9"/>
        </top>
        <bottom style="thin">
          <color theme="9"/>
        </bottom>
        <vertical/>
        <horizontal/>
      </border>
    </dxf>
    <dxf>
      <font>
        <color theme="2" tint="-0.89996032593768116"/>
      </font>
      <fill>
        <patternFill patternType="solid">
          <fgColor theme="1"/>
          <bgColor rgb="FF5A5C59"/>
        </patternFill>
      </fill>
    </dxf>
    <dxf>
      <font>
        <color rgb="FF8FA08D"/>
      </font>
    </dxf>
  </dxfs>
  <tableStyles count="3" defaultTableStyle="TableStyleMedium2" defaultPivotStyle="PivotStyleLight16">
    <tableStyle name="Slicer Style 1" pivot="0" table="0" count="1" xr9:uid="{699D5D5D-5F95-4A69-98D3-D0E94F039645}">
      <tableStyleElement type="wholeTable" dxfId="17"/>
    </tableStyle>
    <tableStyle name="Slicer Style 2" pivot="0" table="0" count="6" xr9:uid="{1DDD47E0-24A7-49F0-BCF7-FDF1320A1E84}">
      <tableStyleElement type="wholeTable" dxfId="16"/>
    </tableStyle>
    <tableStyle name="SlicerStyleDark6 2" pivot="0" table="0" count="10" xr9:uid="{8172CB66-B78D-48BC-80C8-F5783D86C88F}">
      <tableStyleElement type="wholeTable" dxfId="15"/>
      <tableStyleElement type="headerRow" dxfId="14"/>
    </tableStyle>
  </tableStyles>
  <colors>
    <mruColors>
      <color rgb="FF919F8E"/>
      <color rgb="FF05FA10"/>
      <color rgb="FF8FA08D"/>
      <color rgb="FF5A5C59"/>
      <color rgb="FF474946"/>
      <color rgb="FF13DE1B"/>
      <color rgb="FF000000"/>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919F8E"/>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5FA10"/>
          </font>
        </dxf>
        <dxf>
          <font>
            <color theme="1"/>
          </font>
          <fill>
            <patternFill>
              <fgColor theme="1"/>
            </patternFill>
          </fill>
          <border diagonalUp="0" diagonalDown="0">
            <left/>
            <right/>
            <top/>
            <bottom/>
            <vertical/>
            <horizontal/>
          </border>
        </dxf>
        <dxf>
          <font>
            <color rgb="FF919F8E"/>
          </font>
          <fill>
            <patternFill>
              <fgColor rgb="FF8FA08D"/>
            </patternFill>
          </fill>
          <border diagonalUp="0" diagonalDown="0">
            <left/>
            <right/>
            <top/>
            <bottom/>
            <vertical/>
            <horizontal/>
          </border>
        </dxf>
        <dxf>
          <font>
            <color theme="1"/>
          </font>
          <fill>
            <patternFill>
              <fgColor theme="1"/>
            </patternFill>
          </fill>
          <border diagonalUp="0" diagonalDown="0">
            <left/>
            <right/>
            <top/>
            <bottom/>
            <vertical/>
            <horizontal/>
          </border>
        </dxf>
        <dxf>
          <font>
            <color rgb="FF05FA10"/>
          </font>
          <fill>
            <patternFill>
              <f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SelectedItemWith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KPIs!PivotTable6</c:name>
    <c:fmtId val="3"/>
  </c:pivotSource>
  <c:chart>
    <c:autoTitleDeleted val="0"/>
    <c:pivotFmts>
      <c:pivotFmt>
        <c:idx val="0"/>
        <c:spPr>
          <a:solidFill>
            <a:schemeClr val="accent1"/>
          </a:solidFill>
          <a:ln w="2222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KPIs'!$J$3:$J$4</c:f>
              <c:strCache>
                <c:ptCount val="1"/>
                <c:pt idx="0">
                  <c:v>2023</c:v>
                </c:pt>
              </c:strCache>
            </c:strRef>
          </c:tx>
          <c:spPr>
            <a:ln w="22225" cap="rnd">
              <a:solidFill>
                <a:srgbClr val="8FA08D"/>
              </a:solidFill>
              <a:round/>
            </a:ln>
            <a:effectLst/>
          </c:spPr>
          <c:marker>
            <c:symbol val="none"/>
          </c:marker>
          <c:cat>
            <c:strRef>
              <c:f>'PIVOT TABLES &amp; KPIs'!$I$5:$I$9</c:f>
              <c:strCache>
                <c:ptCount val="4"/>
                <c:pt idx="0">
                  <c:v>Qtr1</c:v>
                </c:pt>
                <c:pt idx="1">
                  <c:v>Qtr2</c:v>
                </c:pt>
                <c:pt idx="2">
                  <c:v>Qtr3</c:v>
                </c:pt>
                <c:pt idx="3">
                  <c:v>Qtr4</c:v>
                </c:pt>
              </c:strCache>
            </c:strRef>
          </c:cat>
          <c:val>
            <c:numRef>
              <c:f>'PIVOT TABLES &amp; KPIs'!$J$5:$J$9</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6AA1-40F7-A413-A63CF3462C67}"/>
            </c:ext>
          </c:extLst>
        </c:ser>
        <c:ser>
          <c:idx val="1"/>
          <c:order val="1"/>
          <c:tx>
            <c:strRef>
              <c:f>'PIVOT TABLES &amp; KPIs'!$K$3:$K$4</c:f>
              <c:strCache>
                <c:ptCount val="1"/>
                <c:pt idx="0">
                  <c:v>2024</c:v>
                </c:pt>
              </c:strCache>
            </c:strRef>
          </c:tx>
          <c:spPr>
            <a:ln w="41275" cap="rnd">
              <a:solidFill>
                <a:srgbClr val="13DE1B"/>
              </a:solidFill>
              <a:round/>
            </a:ln>
            <a:effectLst/>
          </c:spPr>
          <c:marker>
            <c:symbol val="none"/>
          </c:marker>
          <c:cat>
            <c:strRef>
              <c:f>'PIVOT TABLES &amp; KPIs'!$I$5:$I$9</c:f>
              <c:strCache>
                <c:ptCount val="4"/>
                <c:pt idx="0">
                  <c:v>Qtr1</c:v>
                </c:pt>
                <c:pt idx="1">
                  <c:v>Qtr2</c:v>
                </c:pt>
                <c:pt idx="2">
                  <c:v>Qtr3</c:v>
                </c:pt>
                <c:pt idx="3">
                  <c:v>Qtr4</c:v>
                </c:pt>
              </c:strCache>
            </c:strRef>
          </c:cat>
          <c:val>
            <c:numRef>
              <c:f>'PIVOT TABLES &amp; KPIs'!$K$5:$K$9</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6AA1-40F7-A413-A63CF3462C67}"/>
            </c:ext>
          </c:extLst>
        </c:ser>
        <c:dLbls>
          <c:showLegendKey val="0"/>
          <c:showVal val="0"/>
          <c:showCatName val="0"/>
          <c:showSerName val="0"/>
          <c:showPercent val="0"/>
          <c:showBubbleSize val="0"/>
        </c:dLbls>
        <c:smooth val="0"/>
        <c:axId val="408160560"/>
        <c:axId val="408160144"/>
      </c:lineChart>
      <c:catAx>
        <c:axId val="408160560"/>
        <c:scaling>
          <c:orientation val="minMax"/>
        </c:scaling>
        <c:delete val="1"/>
        <c:axPos val="b"/>
        <c:numFmt formatCode="General" sourceLinked="1"/>
        <c:majorTickMark val="none"/>
        <c:minorTickMark val="none"/>
        <c:tickLblPos val="nextTo"/>
        <c:crossAx val="408160144"/>
        <c:crosses val="autoZero"/>
        <c:auto val="1"/>
        <c:lblAlgn val="ctr"/>
        <c:lblOffset val="100"/>
        <c:noMultiLvlLbl val="0"/>
      </c:catAx>
      <c:valAx>
        <c:axId val="408160144"/>
        <c:scaling>
          <c:orientation val="minMax"/>
        </c:scaling>
        <c:delete val="1"/>
        <c:axPos val="l"/>
        <c:numFmt formatCode="[&gt;=1000000]\$0.0,,&quot;M&quot;;[&gt;=1000]\$0.0,&quot;K&quot;;0" sourceLinked="1"/>
        <c:majorTickMark val="none"/>
        <c:minorTickMark val="none"/>
        <c:tickLblPos val="nextTo"/>
        <c:crossAx val="4081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KPIs!PivotTable7</c:name>
    <c:fmtId val="3"/>
  </c:pivotSource>
  <c:chart>
    <c:autoTitleDeleted val="0"/>
    <c:pivotFmts>
      <c:pivotFmt>
        <c:idx val="0"/>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KPIs'!$J$15:$J$16</c:f>
              <c:strCache>
                <c:ptCount val="1"/>
                <c:pt idx="0">
                  <c:v>2023</c:v>
                </c:pt>
              </c:strCache>
            </c:strRef>
          </c:tx>
          <c:spPr>
            <a:ln w="25400" cap="rnd">
              <a:solidFill>
                <a:srgbClr val="8FA08D"/>
              </a:solidFill>
              <a:round/>
            </a:ln>
            <a:effectLst/>
          </c:spPr>
          <c:marker>
            <c:symbol val="none"/>
          </c:marker>
          <c:cat>
            <c:strRef>
              <c:f>'PIVOT TABLES &amp; KPIs'!$I$17:$I$21</c:f>
              <c:strCache>
                <c:ptCount val="4"/>
                <c:pt idx="0">
                  <c:v>Qtr1</c:v>
                </c:pt>
                <c:pt idx="1">
                  <c:v>Qtr2</c:v>
                </c:pt>
                <c:pt idx="2">
                  <c:v>Qtr3</c:v>
                </c:pt>
                <c:pt idx="3">
                  <c:v>Qtr4</c:v>
                </c:pt>
              </c:strCache>
            </c:strRef>
          </c:cat>
          <c:val>
            <c:numRef>
              <c:f>'PIVOT TABLES &amp; KPIs'!$J$17:$J$21</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0A00-4132-9B30-D35747B04519}"/>
            </c:ext>
          </c:extLst>
        </c:ser>
        <c:ser>
          <c:idx val="1"/>
          <c:order val="1"/>
          <c:tx>
            <c:strRef>
              <c:f>'PIVOT TABLES &amp; KPIs'!$K$15:$K$16</c:f>
              <c:strCache>
                <c:ptCount val="1"/>
                <c:pt idx="0">
                  <c:v>2024</c:v>
                </c:pt>
              </c:strCache>
            </c:strRef>
          </c:tx>
          <c:spPr>
            <a:ln w="41275" cap="rnd">
              <a:solidFill>
                <a:srgbClr val="13DE1B"/>
              </a:solidFill>
              <a:round/>
            </a:ln>
            <a:effectLst/>
          </c:spPr>
          <c:marker>
            <c:symbol val="none"/>
          </c:marker>
          <c:cat>
            <c:strRef>
              <c:f>'PIVOT TABLES &amp; KPIs'!$I$17:$I$21</c:f>
              <c:strCache>
                <c:ptCount val="4"/>
                <c:pt idx="0">
                  <c:v>Qtr1</c:v>
                </c:pt>
                <c:pt idx="1">
                  <c:v>Qtr2</c:v>
                </c:pt>
                <c:pt idx="2">
                  <c:v>Qtr3</c:v>
                </c:pt>
                <c:pt idx="3">
                  <c:v>Qtr4</c:v>
                </c:pt>
              </c:strCache>
            </c:strRef>
          </c:cat>
          <c:val>
            <c:numRef>
              <c:f>'PIVOT TABLES &amp; KPIs'!$K$17:$K$21</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0A00-4132-9B30-D35747B04519}"/>
            </c:ext>
          </c:extLst>
        </c:ser>
        <c:dLbls>
          <c:showLegendKey val="0"/>
          <c:showVal val="0"/>
          <c:showCatName val="0"/>
          <c:showSerName val="0"/>
          <c:showPercent val="0"/>
          <c:showBubbleSize val="0"/>
        </c:dLbls>
        <c:smooth val="0"/>
        <c:axId val="408159312"/>
        <c:axId val="408157232"/>
      </c:lineChart>
      <c:catAx>
        <c:axId val="408159312"/>
        <c:scaling>
          <c:orientation val="minMax"/>
        </c:scaling>
        <c:delete val="1"/>
        <c:axPos val="b"/>
        <c:numFmt formatCode="General" sourceLinked="1"/>
        <c:majorTickMark val="none"/>
        <c:minorTickMark val="none"/>
        <c:tickLblPos val="nextTo"/>
        <c:crossAx val="408157232"/>
        <c:crosses val="autoZero"/>
        <c:auto val="1"/>
        <c:lblAlgn val="ctr"/>
        <c:lblOffset val="100"/>
        <c:noMultiLvlLbl val="0"/>
      </c:catAx>
      <c:valAx>
        <c:axId val="408157232"/>
        <c:scaling>
          <c:orientation val="minMax"/>
        </c:scaling>
        <c:delete val="1"/>
        <c:axPos val="l"/>
        <c:numFmt formatCode="[&gt;=1000000]\$0.0,,&quot;M&quot;;[&gt;=1000]\$0.0,&quot;K&quot;;0" sourceLinked="1"/>
        <c:majorTickMark val="none"/>
        <c:minorTickMark val="none"/>
        <c:tickLblPos val="nextTo"/>
        <c:crossAx val="40815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KPIs!PivotTable8</c:name>
    <c:fmtId val="3"/>
  </c:pivotSource>
  <c:chart>
    <c:autoTitleDeleted val="0"/>
    <c:pivotFmts>
      <c:pivotFmt>
        <c:idx val="0"/>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KPIs'!$J$27:$J$28</c:f>
              <c:strCache>
                <c:ptCount val="1"/>
                <c:pt idx="0">
                  <c:v>2023</c:v>
                </c:pt>
              </c:strCache>
            </c:strRef>
          </c:tx>
          <c:spPr>
            <a:ln w="25400" cap="rnd">
              <a:solidFill>
                <a:srgbClr val="8FA08D"/>
              </a:solidFill>
              <a:round/>
            </a:ln>
            <a:effectLst/>
          </c:spPr>
          <c:marker>
            <c:symbol val="none"/>
          </c:marker>
          <c:cat>
            <c:strRef>
              <c:f>'PIVOT TABLES &amp; KPIs'!$I$29:$I$33</c:f>
              <c:strCache>
                <c:ptCount val="4"/>
                <c:pt idx="0">
                  <c:v>Qtr1</c:v>
                </c:pt>
                <c:pt idx="1">
                  <c:v>Qtr2</c:v>
                </c:pt>
                <c:pt idx="2">
                  <c:v>Qtr3</c:v>
                </c:pt>
                <c:pt idx="3">
                  <c:v>Qtr4</c:v>
                </c:pt>
              </c:strCache>
            </c:strRef>
          </c:cat>
          <c:val>
            <c:numRef>
              <c:f>'PIVOT TABLES &amp; KPIs'!$J$29:$J$33</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592D-4053-9FD9-38C7B0CC4B89}"/>
            </c:ext>
          </c:extLst>
        </c:ser>
        <c:ser>
          <c:idx val="1"/>
          <c:order val="1"/>
          <c:tx>
            <c:strRef>
              <c:f>'PIVOT TABLES &amp; KPIs'!$K$27:$K$28</c:f>
              <c:strCache>
                <c:ptCount val="1"/>
                <c:pt idx="0">
                  <c:v>2024</c:v>
                </c:pt>
              </c:strCache>
            </c:strRef>
          </c:tx>
          <c:spPr>
            <a:ln w="41275" cap="rnd">
              <a:solidFill>
                <a:srgbClr val="13DE1B"/>
              </a:solidFill>
              <a:round/>
            </a:ln>
            <a:effectLst/>
          </c:spPr>
          <c:marker>
            <c:symbol val="none"/>
          </c:marker>
          <c:cat>
            <c:strRef>
              <c:f>'PIVOT TABLES &amp; KPIs'!$I$29:$I$33</c:f>
              <c:strCache>
                <c:ptCount val="4"/>
                <c:pt idx="0">
                  <c:v>Qtr1</c:v>
                </c:pt>
                <c:pt idx="1">
                  <c:v>Qtr2</c:v>
                </c:pt>
                <c:pt idx="2">
                  <c:v>Qtr3</c:v>
                </c:pt>
                <c:pt idx="3">
                  <c:v>Qtr4</c:v>
                </c:pt>
              </c:strCache>
            </c:strRef>
          </c:cat>
          <c:val>
            <c:numRef>
              <c:f>'PIVOT TABLES &amp; KPIs'!$K$29:$K$33</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592D-4053-9FD9-38C7B0CC4B89}"/>
            </c:ext>
          </c:extLst>
        </c:ser>
        <c:dLbls>
          <c:showLegendKey val="0"/>
          <c:showVal val="0"/>
          <c:showCatName val="0"/>
          <c:showSerName val="0"/>
          <c:showPercent val="0"/>
          <c:showBubbleSize val="0"/>
        </c:dLbls>
        <c:smooth val="0"/>
        <c:axId val="2036765040"/>
        <c:axId val="2036764624"/>
      </c:lineChart>
      <c:catAx>
        <c:axId val="2036765040"/>
        <c:scaling>
          <c:orientation val="minMax"/>
        </c:scaling>
        <c:delete val="1"/>
        <c:axPos val="b"/>
        <c:numFmt formatCode="General" sourceLinked="1"/>
        <c:majorTickMark val="none"/>
        <c:minorTickMark val="none"/>
        <c:tickLblPos val="nextTo"/>
        <c:crossAx val="2036764624"/>
        <c:crosses val="autoZero"/>
        <c:auto val="1"/>
        <c:lblAlgn val="ctr"/>
        <c:lblOffset val="100"/>
        <c:noMultiLvlLbl val="0"/>
      </c:catAx>
      <c:valAx>
        <c:axId val="2036764624"/>
        <c:scaling>
          <c:orientation val="minMax"/>
        </c:scaling>
        <c:delete val="1"/>
        <c:axPos val="l"/>
        <c:numFmt formatCode="[&gt;=1000000]\$0.0,,&quot;M&quot;;[&gt;=1000]\$0.0,&quot;K&quot;;0" sourceLinked="1"/>
        <c:majorTickMark val="none"/>
        <c:minorTickMark val="none"/>
        <c:tickLblPos val="nextTo"/>
        <c:crossAx val="203676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KPIs!PivotTable9</c:name>
    <c:fmtId val="3"/>
  </c:pivotSource>
  <c:chart>
    <c:autoTitleDeleted val="0"/>
    <c:pivotFmts>
      <c:pivotFmt>
        <c:idx val="0"/>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13DE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KPIs'!$J$39:$J$40</c:f>
              <c:strCache>
                <c:ptCount val="1"/>
                <c:pt idx="0">
                  <c:v>2023</c:v>
                </c:pt>
              </c:strCache>
            </c:strRef>
          </c:tx>
          <c:spPr>
            <a:ln w="25400" cap="rnd">
              <a:solidFill>
                <a:srgbClr val="8FA08D"/>
              </a:solidFill>
              <a:round/>
            </a:ln>
            <a:effectLst/>
          </c:spPr>
          <c:marker>
            <c:symbol val="none"/>
          </c:marker>
          <c:cat>
            <c:strRef>
              <c:f>'PIVOT TABLES &amp; KPIs'!$I$41:$I$45</c:f>
              <c:strCache>
                <c:ptCount val="4"/>
                <c:pt idx="0">
                  <c:v>Qtr1</c:v>
                </c:pt>
                <c:pt idx="1">
                  <c:v>Qtr2</c:v>
                </c:pt>
                <c:pt idx="2">
                  <c:v>Qtr3</c:v>
                </c:pt>
                <c:pt idx="3">
                  <c:v>Qtr4</c:v>
                </c:pt>
              </c:strCache>
            </c:strRef>
          </c:cat>
          <c:val>
            <c:numRef>
              <c:f>'PIVOT TABLES &amp; KPIs'!$J$41:$J$45</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EE8D-4CEF-9890-C26FB6731A28}"/>
            </c:ext>
          </c:extLst>
        </c:ser>
        <c:ser>
          <c:idx val="1"/>
          <c:order val="1"/>
          <c:tx>
            <c:strRef>
              <c:f>'PIVOT TABLES &amp; KPIs'!$K$39:$K$40</c:f>
              <c:strCache>
                <c:ptCount val="1"/>
                <c:pt idx="0">
                  <c:v>2024</c:v>
                </c:pt>
              </c:strCache>
            </c:strRef>
          </c:tx>
          <c:spPr>
            <a:ln w="41275" cap="rnd">
              <a:solidFill>
                <a:srgbClr val="13DE1B"/>
              </a:solidFill>
              <a:round/>
            </a:ln>
            <a:effectLst/>
          </c:spPr>
          <c:marker>
            <c:symbol val="none"/>
          </c:marker>
          <c:cat>
            <c:strRef>
              <c:f>'PIVOT TABLES &amp; KPIs'!$I$41:$I$45</c:f>
              <c:strCache>
                <c:ptCount val="4"/>
                <c:pt idx="0">
                  <c:v>Qtr1</c:v>
                </c:pt>
                <c:pt idx="1">
                  <c:v>Qtr2</c:v>
                </c:pt>
                <c:pt idx="2">
                  <c:v>Qtr3</c:v>
                </c:pt>
                <c:pt idx="3">
                  <c:v>Qtr4</c:v>
                </c:pt>
              </c:strCache>
            </c:strRef>
          </c:cat>
          <c:val>
            <c:numRef>
              <c:f>'PIVOT TABLES &amp; KPIs'!$K$41:$K$45</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EE8D-4CEF-9890-C26FB6731A28}"/>
            </c:ext>
          </c:extLst>
        </c:ser>
        <c:dLbls>
          <c:showLegendKey val="0"/>
          <c:showVal val="0"/>
          <c:showCatName val="0"/>
          <c:showSerName val="0"/>
          <c:showPercent val="0"/>
          <c:showBubbleSize val="0"/>
        </c:dLbls>
        <c:smooth val="0"/>
        <c:axId val="1922985504"/>
        <c:axId val="1922985920"/>
      </c:lineChart>
      <c:catAx>
        <c:axId val="1922985504"/>
        <c:scaling>
          <c:orientation val="minMax"/>
        </c:scaling>
        <c:delete val="1"/>
        <c:axPos val="b"/>
        <c:numFmt formatCode="General" sourceLinked="1"/>
        <c:majorTickMark val="none"/>
        <c:minorTickMark val="none"/>
        <c:tickLblPos val="nextTo"/>
        <c:crossAx val="1922985920"/>
        <c:crosses val="autoZero"/>
        <c:auto val="1"/>
        <c:lblAlgn val="ctr"/>
        <c:lblOffset val="100"/>
        <c:noMultiLvlLbl val="0"/>
      </c:catAx>
      <c:valAx>
        <c:axId val="1922985920"/>
        <c:scaling>
          <c:orientation val="minMax"/>
        </c:scaling>
        <c:delete val="1"/>
        <c:axPos val="l"/>
        <c:numFmt formatCode="[&gt;=1000000]\$0.0,,&quot;M&quot;;[&gt;=1000]\$0.0,&quot;K&quot;;0" sourceLinked="1"/>
        <c:majorTickMark val="none"/>
        <c:minorTickMark val="none"/>
        <c:tickLblPos val="nextTo"/>
        <c:crossAx val="192298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KPIs!PivotTable3</c:name>
    <c:fmtId val="49"/>
  </c:pivotSource>
  <c:chart>
    <c:autoTitleDeleted val="0"/>
    <c:pivotFmts>
      <c:pivotFmt>
        <c:idx val="0"/>
        <c:spPr>
          <a:solidFill>
            <a:schemeClr val="accent1"/>
          </a:solidFill>
          <a:ln w="28575" cap="rnd">
            <a:solidFill>
              <a:srgbClr val="8FA08D">
                <a:alpha val="4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FA08D">
                <a:alpha val="4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FA08D">
                <a:alpha val="4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FA08D">
                <a:alpha val="4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FA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919F8E">
                <a:alpha val="5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rgbClr val="919F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rgbClr val="13DE1B">
                <a:alpha val="7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87495080154864E-2"/>
          <c:y val="0.20545659219799484"/>
          <c:w val="0.8888544620718547"/>
          <c:h val="0.63212361075442802"/>
        </c:manualLayout>
      </c:layout>
      <c:lineChart>
        <c:grouping val="standard"/>
        <c:varyColors val="0"/>
        <c:ser>
          <c:idx val="0"/>
          <c:order val="0"/>
          <c:tx>
            <c:strRef>
              <c:f>'PIVOT TABLES &amp; KPIs'!$B$17:$B$18</c:f>
              <c:strCache>
                <c:ptCount val="1"/>
                <c:pt idx="0">
                  <c:v>2023</c:v>
                </c:pt>
              </c:strCache>
            </c:strRef>
          </c:tx>
          <c:spPr>
            <a:ln w="28575" cap="rnd">
              <a:solidFill>
                <a:srgbClr val="919F8E"/>
              </a:solidFill>
              <a:round/>
            </a:ln>
            <a:effectLst/>
          </c:spPr>
          <c:marker>
            <c:symbol val="none"/>
          </c:marker>
          <c:cat>
            <c:strRef>
              <c:f>'PIVOT TABLES &amp; 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KPIs'!$B$19:$B$31</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750D-4EF4-8876-DB3BE2BA92FC}"/>
            </c:ext>
          </c:extLst>
        </c:ser>
        <c:ser>
          <c:idx val="1"/>
          <c:order val="1"/>
          <c:tx>
            <c:strRef>
              <c:f>'PIVOT TABLES &amp; KPIs'!$C$17:$C$18</c:f>
              <c:strCache>
                <c:ptCount val="1"/>
                <c:pt idx="0">
                  <c:v>2024</c:v>
                </c:pt>
              </c:strCache>
            </c:strRef>
          </c:tx>
          <c:spPr>
            <a:ln w="28575" cap="rnd">
              <a:solidFill>
                <a:srgbClr val="13DE1B">
                  <a:alpha val="71000"/>
                </a:srgbClr>
              </a:solidFill>
              <a:round/>
            </a:ln>
            <a:effectLst/>
          </c:spPr>
          <c:marker>
            <c:symbol val="none"/>
          </c:marker>
          <c:cat>
            <c:strRef>
              <c:f>'PIVOT TABLES &amp; 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KPIs'!$C$19:$C$31</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750D-4EF4-8876-DB3BE2BA92FC}"/>
            </c:ext>
          </c:extLst>
        </c:ser>
        <c:dLbls>
          <c:showLegendKey val="0"/>
          <c:showVal val="0"/>
          <c:showCatName val="0"/>
          <c:showSerName val="0"/>
          <c:showPercent val="0"/>
          <c:showBubbleSize val="0"/>
        </c:dLbls>
        <c:smooth val="0"/>
        <c:axId val="1936444288"/>
        <c:axId val="1936444704"/>
      </c:lineChart>
      <c:catAx>
        <c:axId val="1936444288"/>
        <c:scaling>
          <c:orientation val="minMax"/>
        </c:scaling>
        <c:delete val="0"/>
        <c:axPos val="b"/>
        <c:numFmt formatCode="General" sourceLinked="1"/>
        <c:majorTickMark val="none"/>
        <c:minorTickMark val="none"/>
        <c:tickLblPos val="nextTo"/>
        <c:spPr>
          <a:solidFill>
            <a:srgbClr val="474946"/>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crossAx val="1936444704"/>
        <c:crosses val="autoZero"/>
        <c:auto val="1"/>
        <c:lblAlgn val="ctr"/>
        <c:lblOffset val="100"/>
        <c:noMultiLvlLbl val="0"/>
      </c:catAx>
      <c:valAx>
        <c:axId val="1936444704"/>
        <c:scaling>
          <c:orientation val="minMax"/>
        </c:scaling>
        <c:delete val="0"/>
        <c:axPos val="l"/>
        <c:majorGridlines>
          <c:spPr>
            <a:ln w="317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solidFill>
            <a:srgbClr val="474946"/>
          </a:solidFill>
          <a:ln>
            <a:noFill/>
          </a:ln>
          <a:effectLst/>
        </c:spPr>
        <c:txPr>
          <a:bodyPr rot="-6000000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crossAx val="1936444288"/>
        <c:crosses val="autoZero"/>
        <c:crossBetween val="between"/>
      </c:valAx>
      <c:spPr>
        <a:noFill/>
        <a:ln>
          <a:noFill/>
        </a:ln>
        <a:effectLst/>
      </c:spPr>
    </c:plotArea>
    <c:legend>
      <c:legendPos val="t"/>
      <c:layout>
        <c:manualLayout>
          <c:xMode val="edge"/>
          <c:yMode val="edge"/>
          <c:x val="0.68419991251093615"/>
          <c:y val="2.7777777777777776E-2"/>
          <c:w val="0.28159995625546808"/>
          <c:h val="0.1013520607221394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KPIs!PivotTable5</c:name>
    <c:fmtId val="10"/>
  </c:pivotSource>
  <c:chart>
    <c:autoTitleDeleted val="0"/>
    <c:pivotFmts>
      <c:pivotFmt>
        <c:idx val="0"/>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19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KPIs'!$B$47:$B$48</c:f>
              <c:strCache>
                <c:ptCount val="1"/>
                <c:pt idx="0">
                  <c:v>2023</c:v>
                </c:pt>
              </c:strCache>
            </c:strRef>
          </c:tx>
          <c:spPr>
            <a:solidFill>
              <a:srgbClr val="919F8E"/>
            </a:solidFill>
            <a:ln>
              <a:noFill/>
            </a:ln>
            <a:effectLst/>
          </c:spPr>
          <c:invertIfNegative val="0"/>
          <c:cat>
            <c:strRef>
              <c:f>'PIVOT TABLES &amp; KPIs'!$A$49:$A$53</c:f>
              <c:strCache>
                <c:ptCount val="4"/>
                <c:pt idx="0">
                  <c:v>East</c:v>
                </c:pt>
                <c:pt idx="1">
                  <c:v>North</c:v>
                </c:pt>
                <c:pt idx="2">
                  <c:v>South</c:v>
                </c:pt>
                <c:pt idx="3">
                  <c:v>West</c:v>
                </c:pt>
              </c:strCache>
            </c:strRef>
          </c:cat>
          <c:val>
            <c:numRef>
              <c:f>'PIVOT TABLES &amp; KPIs'!$B$49:$B$53</c:f>
              <c:numCache>
                <c:formatCode>[&gt;=1000000]\$0,,"M";[&gt;=1000]\$0,"K";0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F727-45AE-9894-67B79E3A16A4}"/>
            </c:ext>
          </c:extLst>
        </c:ser>
        <c:ser>
          <c:idx val="1"/>
          <c:order val="1"/>
          <c:tx>
            <c:strRef>
              <c:f>'PIVOT TABLES &amp; KPIs'!$C$47:$C$48</c:f>
              <c:strCache>
                <c:ptCount val="1"/>
                <c:pt idx="0">
                  <c:v>2024</c:v>
                </c:pt>
              </c:strCache>
            </c:strRef>
          </c:tx>
          <c:spPr>
            <a:solidFill>
              <a:srgbClr val="13DE1B"/>
            </a:solidFill>
            <a:ln>
              <a:noFill/>
            </a:ln>
            <a:effectLst/>
          </c:spPr>
          <c:invertIfNegative val="0"/>
          <c:cat>
            <c:strRef>
              <c:f>'PIVOT TABLES &amp; KPIs'!$A$49:$A$53</c:f>
              <c:strCache>
                <c:ptCount val="4"/>
                <c:pt idx="0">
                  <c:v>East</c:v>
                </c:pt>
                <c:pt idx="1">
                  <c:v>North</c:v>
                </c:pt>
                <c:pt idx="2">
                  <c:v>South</c:v>
                </c:pt>
                <c:pt idx="3">
                  <c:v>West</c:v>
                </c:pt>
              </c:strCache>
            </c:strRef>
          </c:cat>
          <c:val>
            <c:numRef>
              <c:f>'PIVOT TABLES &amp; KPIs'!$C$49:$C$53</c:f>
              <c:numCache>
                <c:formatCode>[&gt;=1000000]\$0,,"M";[&gt;=1000]\$0,"K";0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F727-45AE-9894-67B79E3A16A4}"/>
            </c:ext>
          </c:extLst>
        </c:ser>
        <c:dLbls>
          <c:showLegendKey val="0"/>
          <c:showVal val="0"/>
          <c:showCatName val="0"/>
          <c:showSerName val="0"/>
          <c:showPercent val="0"/>
          <c:showBubbleSize val="0"/>
        </c:dLbls>
        <c:gapWidth val="182"/>
        <c:axId val="677111744"/>
        <c:axId val="677110496"/>
      </c:barChart>
      <c:catAx>
        <c:axId val="67711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FA08D"/>
                </a:solidFill>
                <a:latin typeface="+mn-lt"/>
                <a:ea typeface="+mn-ea"/>
                <a:cs typeface="+mn-cs"/>
              </a:defRPr>
            </a:pPr>
            <a:endParaRPr lang="en-US"/>
          </a:p>
        </c:txPr>
        <c:crossAx val="677110496"/>
        <c:crosses val="autoZero"/>
        <c:auto val="1"/>
        <c:lblAlgn val="ctr"/>
        <c:lblOffset val="100"/>
        <c:noMultiLvlLbl val="0"/>
      </c:catAx>
      <c:valAx>
        <c:axId val="677110496"/>
        <c:scaling>
          <c:orientation val="minMax"/>
        </c:scaling>
        <c:delete val="0"/>
        <c:axPos val="b"/>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crossAx val="67711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FA08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Excel.xlsx]PIVOT TABLES &amp; KPIs!PivotTable4</c:name>
    <c:fmtId val="6"/>
  </c:pivotSource>
  <c:chart>
    <c:autoTitleDeleted val="0"/>
    <c:pivotFmts>
      <c:pivotFmt>
        <c:idx val="0"/>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FA0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3D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KPIs'!$B$35:$B$36</c:f>
              <c:strCache>
                <c:ptCount val="1"/>
                <c:pt idx="0">
                  <c:v>2023</c:v>
                </c:pt>
              </c:strCache>
            </c:strRef>
          </c:tx>
          <c:spPr>
            <a:solidFill>
              <a:srgbClr val="8FA08D"/>
            </a:solidFill>
            <a:ln>
              <a:noFill/>
            </a:ln>
            <a:effectLst/>
          </c:spPr>
          <c:invertIfNegative val="0"/>
          <c:cat>
            <c:strRef>
              <c:f>'PIVOT TABLES &amp; KPIs'!$A$37:$A$43</c:f>
              <c:strCache>
                <c:ptCount val="6"/>
                <c:pt idx="0">
                  <c:v>Headphones</c:v>
                </c:pt>
                <c:pt idx="1">
                  <c:v>Keyboard</c:v>
                </c:pt>
                <c:pt idx="2">
                  <c:v>Laptop</c:v>
                </c:pt>
                <c:pt idx="3">
                  <c:v>Monitor</c:v>
                </c:pt>
                <c:pt idx="4">
                  <c:v>Mouse</c:v>
                </c:pt>
                <c:pt idx="5">
                  <c:v>Printer</c:v>
                </c:pt>
              </c:strCache>
            </c:strRef>
          </c:cat>
          <c:val>
            <c:numRef>
              <c:f>'PIVOT TABLES &amp; KPIs'!$B$37:$B$43</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8B1F-4F3B-935D-1E168139C273}"/>
            </c:ext>
          </c:extLst>
        </c:ser>
        <c:ser>
          <c:idx val="1"/>
          <c:order val="1"/>
          <c:tx>
            <c:strRef>
              <c:f>'PIVOT TABLES &amp; KPIs'!$C$35:$C$36</c:f>
              <c:strCache>
                <c:ptCount val="1"/>
                <c:pt idx="0">
                  <c:v>2024</c:v>
                </c:pt>
              </c:strCache>
            </c:strRef>
          </c:tx>
          <c:spPr>
            <a:solidFill>
              <a:srgbClr val="13DE1B"/>
            </a:solidFill>
            <a:ln>
              <a:noFill/>
            </a:ln>
            <a:effectLst/>
          </c:spPr>
          <c:invertIfNegative val="0"/>
          <c:cat>
            <c:strRef>
              <c:f>'PIVOT TABLES &amp; KPIs'!$A$37:$A$43</c:f>
              <c:strCache>
                <c:ptCount val="6"/>
                <c:pt idx="0">
                  <c:v>Headphones</c:v>
                </c:pt>
                <c:pt idx="1">
                  <c:v>Keyboard</c:v>
                </c:pt>
                <c:pt idx="2">
                  <c:v>Laptop</c:v>
                </c:pt>
                <c:pt idx="3">
                  <c:v>Monitor</c:v>
                </c:pt>
                <c:pt idx="4">
                  <c:v>Mouse</c:v>
                </c:pt>
                <c:pt idx="5">
                  <c:v>Printer</c:v>
                </c:pt>
              </c:strCache>
            </c:strRef>
          </c:cat>
          <c:val>
            <c:numRef>
              <c:f>'PIVOT TABLES &amp; KPIs'!$C$37:$C$43</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8B1F-4F3B-935D-1E168139C273}"/>
            </c:ext>
          </c:extLst>
        </c:ser>
        <c:dLbls>
          <c:showLegendKey val="0"/>
          <c:showVal val="0"/>
          <c:showCatName val="0"/>
          <c:showSerName val="0"/>
          <c:showPercent val="0"/>
          <c:showBubbleSize val="0"/>
        </c:dLbls>
        <c:gapWidth val="219"/>
        <c:overlap val="45"/>
        <c:axId val="1708444912"/>
        <c:axId val="2114672096"/>
      </c:barChart>
      <c:catAx>
        <c:axId val="1708444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FA08D"/>
                </a:solidFill>
                <a:latin typeface="+mn-lt"/>
                <a:ea typeface="+mn-ea"/>
                <a:cs typeface="+mn-cs"/>
              </a:defRPr>
            </a:pPr>
            <a:endParaRPr lang="en-US"/>
          </a:p>
        </c:txPr>
        <c:crossAx val="2114672096"/>
        <c:crosses val="autoZero"/>
        <c:auto val="1"/>
        <c:lblAlgn val="ctr"/>
        <c:lblOffset val="100"/>
        <c:noMultiLvlLbl val="0"/>
      </c:catAx>
      <c:valAx>
        <c:axId val="2114672096"/>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crossAx val="17084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19F8E"/>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PIVOT TABLES &amp; KPI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TASET!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PIVOT TABLES &amp; KPI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TASET!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PIVOT TABLES &amp; KPIs'!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hyperlink" Target="#DATASET!A1"/><Relationship Id="rId9" Type="http://schemas.openxmlformats.org/officeDocument/2006/relationships/image" Target="../media/image6.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11</xdr:col>
      <xdr:colOff>321989</xdr:colOff>
      <xdr:row>23</xdr:row>
      <xdr:rowOff>7941</xdr:rowOff>
    </xdr:to>
    <xdr:sp macro="" textlink="">
      <xdr:nvSpPr>
        <xdr:cNvPr id="2" name="Rectangle: Rounded Corners 1">
          <a:extLst>
            <a:ext uri="{FF2B5EF4-FFF2-40B4-BE49-F238E27FC236}">
              <a16:creationId xmlns:a16="http://schemas.microsoft.com/office/drawing/2014/main" id="{A7BF3137-7BC1-49AF-BE58-3F92D9C950B1}"/>
            </a:ext>
          </a:extLst>
        </xdr:cNvPr>
        <xdr:cNvSpPr/>
      </xdr:nvSpPr>
      <xdr:spPr>
        <a:xfrm rot="5400000">
          <a:off x="5323384" y="2128976"/>
          <a:ext cx="3848421" cy="321989"/>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24392</xdr:colOff>
      <xdr:row>11</xdr:row>
      <xdr:rowOff>32649</xdr:rowOff>
    </xdr:from>
    <xdr:to>
      <xdr:col>11</xdr:col>
      <xdr:colOff>318512</xdr:colOff>
      <xdr:row>12</xdr:row>
      <xdr:rowOff>12195</xdr:rowOff>
    </xdr:to>
    <xdr:pic>
      <xdr:nvPicPr>
        <xdr:cNvPr id="3" name="Graphic 2" descr="Bar chart with solid fill">
          <a:hlinkClick xmlns:r="http://schemas.openxmlformats.org/officeDocument/2006/relationships" r:id="rId1"/>
          <a:extLst>
            <a:ext uri="{FF2B5EF4-FFF2-40B4-BE49-F238E27FC236}">
              <a16:creationId xmlns:a16="http://schemas.microsoft.com/office/drawing/2014/main" id="{521D076B-0E1A-442F-BA47-66EF788B18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110992" y="2044329"/>
          <a:ext cx="294120" cy="162426"/>
        </a:xfrm>
        <a:prstGeom prst="rect">
          <a:avLst/>
        </a:prstGeom>
      </xdr:spPr>
    </xdr:pic>
    <xdr:clientData/>
  </xdr:twoCellAnchor>
  <xdr:twoCellAnchor editAs="oneCell">
    <xdr:from>
      <xdr:col>11</xdr:col>
      <xdr:colOff>44368</xdr:colOff>
      <xdr:row>4</xdr:row>
      <xdr:rowOff>115000</xdr:rowOff>
    </xdr:from>
    <xdr:to>
      <xdr:col>11</xdr:col>
      <xdr:colOff>310065</xdr:colOff>
      <xdr:row>5</xdr:row>
      <xdr:rowOff>127462</xdr:rowOff>
    </xdr:to>
    <xdr:pic>
      <xdr:nvPicPr>
        <xdr:cNvPr id="4" name="Graphic 3" descr="Newspaper with solid fill">
          <a:hlinkClick xmlns:r="http://schemas.openxmlformats.org/officeDocument/2006/relationships" r:id="rId4"/>
          <a:extLst>
            <a:ext uri="{FF2B5EF4-FFF2-40B4-BE49-F238E27FC236}">
              <a16:creationId xmlns:a16="http://schemas.microsoft.com/office/drawing/2014/main" id="{124B5D03-7CE2-4C37-98F8-ADA1834071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130968" y="846520"/>
          <a:ext cx="265697" cy="195342"/>
        </a:xfrm>
        <a:prstGeom prst="rect">
          <a:avLst/>
        </a:prstGeom>
      </xdr:spPr>
    </xdr:pic>
    <xdr:clientData/>
  </xdr:twoCellAnchor>
  <xdr:twoCellAnchor editAs="oneCell">
    <xdr:from>
      <xdr:col>11</xdr:col>
      <xdr:colOff>32839</xdr:colOff>
      <xdr:row>17</xdr:row>
      <xdr:rowOff>100762</xdr:rowOff>
    </xdr:from>
    <xdr:to>
      <xdr:col>11</xdr:col>
      <xdr:colOff>300040</xdr:colOff>
      <xdr:row>18</xdr:row>
      <xdr:rowOff>174344</xdr:rowOff>
    </xdr:to>
    <xdr:pic>
      <xdr:nvPicPr>
        <xdr:cNvPr id="5" name="Graphic 4" descr="Laptop with solid fill">
          <a:hlinkClick xmlns:r="http://schemas.openxmlformats.org/officeDocument/2006/relationships" r:id="rId7"/>
          <a:extLst>
            <a:ext uri="{FF2B5EF4-FFF2-40B4-BE49-F238E27FC236}">
              <a16:creationId xmlns:a16="http://schemas.microsoft.com/office/drawing/2014/main" id="{B32DF07B-FD2B-43DB-903F-ABE726FA4DB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119439" y="3209722"/>
          <a:ext cx="267201" cy="256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4</xdr:row>
      <xdr:rowOff>0</xdr:rowOff>
    </xdr:from>
    <xdr:to>
      <xdr:col>13</xdr:col>
      <xdr:colOff>321989</xdr:colOff>
      <xdr:row>25</xdr:row>
      <xdr:rowOff>7941</xdr:rowOff>
    </xdr:to>
    <xdr:sp macro="" textlink="">
      <xdr:nvSpPr>
        <xdr:cNvPr id="27" name="Rectangle: Rounded Corners 26">
          <a:extLst>
            <a:ext uri="{FF2B5EF4-FFF2-40B4-BE49-F238E27FC236}">
              <a16:creationId xmlns:a16="http://schemas.microsoft.com/office/drawing/2014/main" id="{0F04AB7D-6B2E-4597-BD08-BAC790F13C9E}"/>
            </a:ext>
          </a:extLst>
        </xdr:cNvPr>
        <xdr:cNvSpPr/>
      </xdr:nvSpPr>
      <xdr:spPr>
        <a:xfrm rot="5400000">
          <a:off x="8272324" y="2494736"/>
          <a:ext cx="3848421" cy="321989"/>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13</xdr:col>
      <xdr:colOff>24392</xdr:colOff>
      <xdr:row>13</xdr:row>
      <xdr:rowOff>32649</xdr:rowOff>
    </xdr:from>
    <xdr:to>
      <xdr:col>13</xdr:col>
      <xdr:colOff>318512</xdr:colOff>
      <xdr:row>14</xdr:row>
      <xdr:rowOff>12195</xdr:rowOff>
    </xdr:to>
    <xdr:pic>
      <xdr:nvPicPr>
        <xdr:cNvPr id="28" name="Graphic 27" descr="Bar chart with solid fill">
          <a:hlinkClick xmlns:r="http://schemas.openxmlformats.org/officeDocument/2006/relationships" r:id="rId1"/>
          <a:extLst>
            <a:ext uri="{FF2B5EF4-FFF2-40B4-BE49-F238E27FC236}">
              <a16:creationId xmlns:a16="http://schemas.microsoft.com/office/drawing/2014/main" id="{E81E9490-5B35-49CC-8006-1562DF09FE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059932" y="2410089"/>
          <a:ext cx="294120" cy="162426"/>
        </a:xfrm>
        <a:prstGeom prst="rect">
          <a:avLst/>
        </a:prstGeom>
      </xdr:spPr>
    </xdr:pic>
    <xdr:clientData/>
  </xdr:twoCellAnchor>
  <xdr:twoCellAnchor editAs="oneCell">
    <xdr:from>
      <xdr:col>13</xdr:col>
      <xdr:colOff>44368</xdr:colOff>
      <xdr:row>6</xdr:row>
      <xdr:rowOff>115000</xdr:rowOff>
    </xdr:from>
    <xdr:to>
      <xdr:col>13</xdr:col>
      <xdr:colOff>310065</xdr:colOff>
      <xdr:row>7</xdr:row>
      <xdr:rowOff>127462</xdr:rowOff>
    </xdr:to>
    <xdr:pic>
      <xdr:nvPicPr>
        <xdr:cNvPr id="29" name="Graphic 28" descr="Newspaper with solid fill">
          <a:hlinkClick xmlns:r="http://schemas.openxmlformats.org/officeDocument/2006/relationships" r:id="rId4"/>
          <a:extLst>
            <a:ext uri="{FF2B5EF4-FFF2-40B4-BE49-F238E27FC236}">
              <a16:creationId xmlns:a16="http://schemas.microsoft.com/office/drawing/2014/main" id="{B4A4430C-0D59-46AD-B37D-5C593E89A3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079908" y="1212280"/>
          <a:ext cx="265697" cy="195342"/>
        </a:xfrm>
        <a:prstGeom prst="rect">
          <a:avLst/>
        </a:prstGeom>
      </xdr:spPr>
    </xdr:pic>
    <xdr:clientData/>
  </xdr:twoCellAnchor>
  <xdr:twoCellAnchor editAs="oneCell">
    <xdr:from>
      <xdr:col>13</xdr:col>
      <xdr:colOff>32839</xdr:colOff>
      <xdr:row>19</xdr:row>
      <xdr:rowOff>100762</xdr:rowOff>
    </xdr:from>
    <xdr:to>
      <xdr:col>13</xdr:col>
      <xdr:colOff>300040</xdr:colOff>
      <xdr:row>20</xdr:row>
      <xdr:rowOff>174344</xdr:rowOff>
    </xdr:to>
    <xdr:pic>
      <xdr:nvPicPr>
        <xdr:cNvPr id="30" name="Graphic 29" descr="Laptop with solid fill">
          <a:hlinkClick xmlns:r="http://schemas.openxmlformats.org/officeDocument/2006/relationships" r:id="rId7"/>
          <a:extLst>
            <a:ext uri="{FF2B5EF4-FFF2-40B4-BE49-F238E27FC236}">
              <a16:creationId xmlns:a16="http://schemas.microsoft.com/office/drawing/2014/main" id="{DE771031-742E-46BB-964D-5A52747F92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068379" y="3575482"/>
          <a:ext cx="267201" cy="2564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139065</xdr:colOff>
      <xdr:row>2</xdr:row>
      <xdr:rowOff>9525</xdr:rowOff>
    </xdr:from>
    <xdr:to>
      <xdr:col>23</xdr:col>
      <xdr:colOff>161925</xdr:colOff>
      <xdr:row>34</xdr:row>
      <xdr:rowOff>60157</xdr:rowOff>
    </xdr:to>
    <xdr:sp macro="" textlink="">
      <xdr:nvSpPr>
        <xdr:cNvPr id="2" name="Rectangle: Rounded Corners 1">
          <a:extLst>
            <a:ext uri="{FF2B5EF4-FFF2-40B4-BE49-F238E27FC236}">
              <a16:creationId xmlns:a16="http://schemas.microsoft.com/office/drawing/2014/main" id="{4690C724-AAC7-4CC0-9A0B-608E8F2318A9}"/>
            </a:ext>
          </a:extLst>
        </xdr:cNvPr>
        <xdr:cNvSpPr/>
      </xdr:nvSpPr>
      <xdr:spPr>
        <a:xfrm>
          <a:off x="2577465" y="371475"/>
          <a:ext cx="11605260" cy="5841832"/>
        </a:xfrm>
        <a:prstGeom prst="roundRect">
          <a:avLst>
            <a:gd name="adj" fmla="val 5230"/>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171450</xdr:colOff>
      <xdr:row>5</xdr:row>
      <xdr:rowOff>152400</xdr:rowOff>
    </xdr:from>
    <xdr:to>
      <xdr:col>8</xdr:col>
      <xdr:colOff>466650</xdr:colOff>
      <xdr:row>12</xdr:row>
      <xdr:rowOff>37575</xdr:rowOff>
    </xdr:to>
    <xdr:sp macro="" textlink="">
      <xdr:nvSpPr>
        <xdr:cNvPr id="3" name="Rectangle: Rounded Corners 2">
          <a:extLst>
            <a:ext uri="{FF2B5EF4-FFF2-40B4-BE49-F238E27FC236}">
              <a16:creationId xmlns:a16="http://schemas.microsoft.com/office/drawing/2014/main" id="{BEDC5652-39D8-4B67-A7D1-98A670435475}"/>
            </a:ext>
          </a:extLst>
        </xdr:cNvPr>
        <xdr:cNvSpPr/>
      </xdr:nvSpPr>
      <xdr:spPr>
        <a:xfrm>
          <a:off x="3219450" y="1057275"/>
          <a:ext cx="2124000" cy="115200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581025</xdr:colOff>
      <xdr:row>5</xdr:row>
      <xdr:rowOff>171450</xdr:rowOff>
    </xdr:from>
    <xdr:to>
      <xdr:col>12</xdr:col>
      <xdr:colOff>266625</xdr:colOff>
      <xdr:row>12</xdr:row>
      <xdr:rowOff>56625</xdr:rowOff>
    </xdr:to>
    <xdr:sp macro="" textlink="">
      <xdr:nvSpPr>
        <xdr:cNvPr id="4" name="Rectangle: Rounded Corners 3">
          <a:extLst>
            <a:ext uri="{FF2B5EF4-FFF2-40B4-BE49-F238E27FC236}">
              <a16:creationId xmlns:a16="http://schemas.microsoft.com/office/drawing/2014/main" id="{15728B63-D1B2-4E62-8B52-87BC5CA689B4}"/>
            </a:ext>
          </a:extLst>
        </xdr:cNvPr>
        <xdr:cNvSpPr/>
      </xdr:nvSpPr>
      <xdr:spPr>
        <a:xfrm>
          <a:off x="5457825" y="1076325"/>
          <a:ext cx="2124000" cy="115200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180975</xdr:colOff>
      <xdr:row>12</xdr:row>
      <xdr:rowOff>171450</xdr:rowOff>
    </xdr:from>
    <xdr:to>
      <xdr:col>8</xdr:col>
      <xdr:colOff>476175</xdr:colOff>
      <xdr:row>19</xdr:row>
      <xdr:rowOff>56625</xdr:rowOff>
    </xdr:to>
    <xdr:sp macro="" textlink="">
      <xdr:nvSpPr>
        <xdr:cNvPr id="6" name="Rectangle: Rounded Corners 5">
          <a:extLst>
            <a:ext uri="{FF2B5EF4-FFF2-40B4-BE49-F238E27FC236}">
              <a16:creationId xmlns:a16="http://schemas.microsoft.com/office/drawing/2014/main" id="{B7E1A4DA-3507-4971-ADC9-A5A6D46EA7F5}"/>
            </a:ext>
          </a:extLst>
        </xdr:cNvPr>
        <xdr:cNvSpPr/>
      </xdr:nvSpPr>
      <xdr:spPr>
        <a:xfrm>
          <a:off x="3228975" y="2343150"/>
          <a:ext cx="2124000" cy="115200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590550</xdr:colOff>
      <xdr:row>13</xdr:row>
      <xdr:rowOff>28575</xdr:rowOff>
    </xdr:from>
    <xdr:to>
      <xdr:col>12</xdr:col>
      <xdr:colOff>276150</xdr:colOff>
      <xdr:row>19</xdr:row>
      <xdr:rowOff>94725</xdr:rowOff>
    </xdr:to>
    <xdr:sp macro="" textlink="">
      <xdr:nvSpPr>
        <xdr:cNvPr id="7" name="Rectangle: Rounded Corners 6">
          <a:extLst>
            <a:ext uri="{FF2B5EF4-FFF2-40B4-BE49-F238E27FC236}">
              <a16:creationId xmlns:a16="http://schemas.microsoft.com/office/drawing/2014/main" id="{5EA13BFB-FEB6-46C3-BCE5-D1BBCBAF57FE}"/>
            </a:ext>
          </a:extLst>
        </xdr:cNvPr>
        <xdr:cNvSpPr/>
      </xdr:nvSpPr>
      <xdr:spPr>
        <a:xfrm>
          <a:off x="5467350" y="2381250"/>
          <a:ext cx="2124000" cy="115200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400049</xdr:colOff>
      <xdr:row>6</xdr:row>
      <xdr:rowOff>19050</xdr:rowOff>
    </xdr:from>
    <xdr:to>
      <xdr:col>21</xdr:col>
      <xdr:colOff>409574</xdr:colOff>
      <xdr:row>20</xdr:row>
      <xdr:rowOff>0</xdr:rowOff>
    </xdr:to>
    <xdr:sp macro="" textlink="">
      <xdr:nvSpPr>
        <xdr:cNvPr id="8" name="Rectangle: Rounded Corners 7">
          <a:extLst>
            <a:ext uri="{FF2B5EF4-FFF2-40B4-BE49-F238E27FC236}">
              <a16:creationId xmlns:a16="http://schemas.microsoft.com/office/drawing/2014/main" id="{3A636EA2-BDA3-47BE-89AA-3E8D85858884}"/>
            </a:ext>
          </a:extLst>
        </xdr:cNvPr>
        <xdr:cNvSpPr/>
      </xdr:nvSpPr>
      <xdr:spPr>
        <a:xfrm>
          <a:off x="7715249" y="1104900"/>
          <a:ext cx="5495925" cy="251460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133349</xdr:colOff>
      <xdr:row>20</xdr:row>
      <xdr:rowOff>28574</xdr:rowOff>
    </xdr:from>
    <xdr:to>
      <xdr:col>12</xdr:col>
      <xdr:colOff>304800</xdr:colOff>
      <xdr:row>32</xdr:row>
      <xdr:rowOff>76199</xdr:rowOff>
    </xdr:to>
    <xdr:sp macro="" textlink="">
      <xdr:nvSpPr>
        <xdr:cNvPr id="9" name="Rectangle: Rounded Corners 8">
          <a:extLst>
            <a:ext uri="{FF2B5EF4-FFF2-40B4-BE49-F238E27FC236}">
              <a16:creationId xmlns:a16="http://schemas.microsoft.com/office/drawing/2014/main" id="{05269EC7-2814-4AA1-8A2C-DD5302FE0227}"/>
            </a:ext>
          </a:extLst>
        </xdr:cNvPr>
        <xdr:cNvSpPr/>
      </xdr:nvSpPr>
      <xdr:spPr>
        <a:xfrm>
          <a:off x="3181349" y="3729717"/>
          <a:ext cx="4438651" cy="2268311"/>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400049</xdr:colOff>
      <xdr:row>20</xdr:row>
      <xdr:rowOff>104775</xdr:rowOff>
    </xdr:from>
    <xdr:to>
      <xdr:col>21</xdr:col>
      <xdr:colOff>409574</xdr:colOff>
      <xdr:row>32</xdr:row>
      <xdr:rowOff>47625</xdr:rowOff>
    </xdr:to>
    <xdr:sp macro="" textlink="">
      <xdr:nvSpPr>
        <xdr:cNvPr id="10" name="Rectangle: Rounded Corners 9">
          <a:extLst>
            <a:ext uri="{FF2B5EF4-FFF2-40B4-BE49-F238E27FC236}">
              <a16:creationId xmlns:a16="http://schemas.microsoft.com/office/drawing/2014/main" id="{2D87B57F-75B2-4899-B50A-8270139FE796}"/>
            </a:ext>
          </a:extLst>
        </xdr:cNvPr>
        <xdr:cNvSpPr/>
      </xdr:nvSpPr>
      <xdr:spPr>
        <a:xfrm>
          <a:off x="7715249" y="3724275"/>
          <a:ext cx="5495925" cy="2114550"/>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6696</xdr:colOff>
      <xdr:row>7</xdr:row>
      <xdr:rowOff>60158</xdr:rowOff>
    </xdr:from>
    <xdr:to>
      <xdr:col>4</xdr:col>
      <xdr:colOff>328685</xdr:colOff>
      <xdr:row>28</xdr:row>
      <xdr:rowOff>108104</xdr:rowOff>
    </xdr:to>
    <xdr:sp macro="" textlink="">
      <xdr:nvSpPr>
        <xdr:cNvPr id="11" name="Rectangle: Rounded Corners 10">
          <a:extLst>
            <a:ext uri="{FF2B5EF4-FFF2-40B4-BE49-F238E27FC236}">
              <a16:creationId xmlns:a16="http://schemas.microsoft.com/office/drawing/2014/main" id="{B570FE11-155E-4098-BA2D-302FE5FD6910}"/>
            </a:ext>
          </a:extLst>
        </xdr:cNvPr>
        <xdr:cNvSpPr/>
      </xdr:nvSpPr>
      <xdr:spPr>
        <a:xfrm rot="5400000">
          <a:off x="681880" y="3090199"/>
          <a:ext cx="3848421" cy="321989"/>
        </a:xfrm>
        <a:prstGeom prst="roundRect">
          <a:avLst>
            <a:gd name="adj" fmla="val 11706"/>
          </a:avLst>
        </a:prstGeom>
        <a:solidFill>
          <a:srgbClr val="47494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31088</xdr:colOff>
      <xdr:row>16</xdr:row>
      <xdr:rowOff>109952</xdr:rowOff>
    </xdr:from>
    <xdr:to>
      <xdr:col>4</xdr:col>
      <xdr:colOff>325208</xdr:colOff>
      <xdr:row>17</xdr:row>
      <xdr:rowOff>91403</xdr:rowOff>
    </xdr:to>
    <xdr:pic>
      <xdr:nvPicPr>
        <xdr:cNvPr id="17" name="Graphic 16" descr="Bar chart with solid fill">
          <a:hlinkClick xmlns:r="http://schemas.openxmlformats.org/officeDocument/2006/relationships" r:id="rId1"/>
          <a:extLst>
            <a:ext uri="{FF2B5EF4-FFF2-40B4-BE49-F238E27FC236}">
              <a16:creationId xmlns:a16="http://schemas.microsoft.com/office/drawing/2014/main" id="{69A4B18D-1D79-4B29-8BCB-B2BB5C2A3B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477509" y="2997531"/>
          <a:ext cx="294120" cy="161925"/>
        </a:xfrm>
        <a:prstGeom prst="rect">
          <a:avLst/>
        </a:prstGeom>
      </xdr:spPr>
    </xdr:pic>
    <xdr:clientData/>
  </xdr:twoCellAnchor>
  <xdr:twoCellAnchor editAs="oneCell">
    <xdr:from>
      <xdr:col>4</xdr:col>
      <xdr:colOff>51064</xdr:colOff>
      <xdr:row>9</xdr:row>
      <xdr:rowOff>178968</xdr:rowOff>
    </xdr:from>
    <xdr:to>
      <xdr:col>4</xdr:col>
      <xdr:colOff>316761</xdr:colOff>
      <xdr:row>11</xdr:row>
      <xdr:rowOff>12360</xdr:rowOff>
    </xdr:to>
    <xdr:pic>
      <xdr:nvPicPr>
        <xdr:cNvPr id="19" name="Graphic 18" descr="Newspaper with solid fill">
          <a:hlinkClick xmlns:r="http://schemas.openxmlformats.org/officeDocument/2006/relationships" r:id="rId4"/>
          <a:extLst>
            <a:ext uri="{FF2B5EF4-FFF2-40B4-BE49-F238E27FC236}">
              <a16:creationId xmlns:a16="http://schemas.microsoft.com/office/drawing/2014/main" id="{BC8131C2-930B-4450-8F27-1B097AD6C1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497485" y="1803231"/>
          <a:ext cx="265697" cy="194340"/>
        </a:xfrm>
        <a:prstGeom prst="rect">
          <a:avLst/>
        </a:prstGeom>
      </xdr:spPr>
    </xdr:pic>
    <xdr:clientData/>
  </xdr:twoCellAnchor>
  <xdr:twoCellAnchor editAs="oneCell">
    <xdr:from>
      <xdr:col>4</xdr:col>
      <xdr:colOff>39535</xdr:colOff>
      <xdr:row>23</xdr:row>
      <xdr:rowOff>8520</xdr:rowOff>
    </xdr:from>
    <xdr:to>
      <xdr:col>4</xdr:col>
      <xdr:colOff>306736</xdr:colOff>
      <xdr:row>24</xdr:row>
      <xdr:rowOff>84007</xdr:rowOff>
    </xdr:to>
    <xdr:pic>
      <xdr:nvPicPr>
        <xdr:cNvPr id="23" name="Graphic 22" descr="Laptop with solid fill">
          <a:hlinkClick xmlns:r="http://schemas.openxmlformats.org/officeDocument/2006/relationships" r:id="rId7"/>
          <a:extLst>
            <a:ext uri="{FF2B5EF4-FFF2-40B4-BE49-F238E27FC236}">
              <a16:creationId xmlns:a16="http://schemas.microsoft.com/office/drawing/2014/main" id="{6CBB2F42-0501-4CD7-B05C-EC71B63FCE5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485956" y="4159415"/>
          <a:ext cx="267201" cy="255960"/>
        </a:xfrm>
        <a:prstGeom prst="rect">
          <a:avLst/>
        </a:prstGeom>
      </xdr:spPr>
    </xdr:pic>
    <xdr:clientData/>
  </xdr:twoCellAnchor>
  <xdr:twoCellAnchor>
    <xdr:from>
      <xdr:col>5</xdr:col>
      <xdr:colOff>305661</xdr:colOff>
      <xdr:row>6</xdr:row>
      <xdr:rowOff>12032</xdr:rowOff>
    </xdr:from>
    <xdr:to>
      <xdr:col>6</xdr:col>
      <xdr:colOff>468945</xdr:colOff>
      <xdr:row>7</xdr:row>
      <xdr:rowOff>110290</xdr:rowOff>
    </xdr:to>
    <xdr:sp macro="" textlink="">
      <xdr:nvSpPr>
        <xdr:cNvPr id="24" name="TextBox 23">
          <a:extLst>
            <a:ext uri="{FF2B5EF4-FFF2-40B4-BE49-F238E27FC236}">
              <a16:creationId xmlns:a16="http://schemas.microsoft.com/office/drawing/2014/main" id="{73D75C4F-6BCD-4063-8166-F5C1AD0C26F2}"/>
            </a:ext>
          </a:extLst>
        </xdr:cNvPr>
        <xdr:cNvSpPr txBox="1"/>
      </xdr:nvSpPr>
      <xdr:spPr>
        <a:xfrm>
          <a:off x="3363687" y="1094874"/>
          <a:ext cx="774890" cy="2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Sales</a:t>
          </a:r>
        </a:p>
      </xdr:txBody>
    </xdr:sp>
    <xdr:clientData/>
  </xdr:twoCellAnchor>
  <xdr:twoCellAnchor>
    <xdr:from>
      <xdr:col>9</xdr:col>
      <xdr:colOff>21773</xdr:colOff>
      <xdr:row>6</xdr:row>
      <xdr:rowOff>71330</xdr:rowOff>
    </xdr:from>
    <xdr:to>
      <xdr:col>10</xdr:col>
      <xdr:colOff>185057</xdr:colOff>
      <xdr:row>8</xdr:row>
      <xdr:rowOff>121176</xdr:rowOff>
    </xdr:to>
    <xdr:sp macro="" textlink="">
      <xdr:nvSpPr>
        <xdr:cNvPr id="25" name="TextBox 24">
          <a:extLst>
            <a:ext uri="{FF2B5EF4-FFF2-40B4-BE49-F238E27FC236}">
              <a16:creationId xmlns:a16="http://schemas.microsoft.com/office/drawing/2014/main" id="{DBAEB921-C07E-40E4-AB45-E67E2DAAF50A}"/>
            </a:ext>
          </a:extLst>
        </xdr:cNvPr>
        <xdr:cNvSpPr txBox="1"/>
      </xdr:nvSpPr>
      <xdr:spPr>
        <a:xfrm>
          <a:off x="5526220" y="1154172"/>
          <a:ext cx="77489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rPr>
            <a:t>Quantity</a:t>
          </a:r>
        </a:p>
      </xdr:txBody>
    </xdr:sp>
    <xdr:clientData/>
  </xdr:twoCellAnchor>
  <xdr:twoCellAnchor>
    <xdr:from>
      <xdr:col>5</xdr:col>
      <xdr:colOff>338318</xdr:colOff>
      <xdr:row>13</xdr:row>
      <xdr:rowOff>48699</xdr:rowOff>
    </xdr:from>
    <xdr:to>
      <xdr:col>6</xdr:col>
      <xdr:colOff>501602</xdr:colOff>
      <xdr:row>15</xdr:row>
      <xdr:rowOff>103128</xdr:rowOff>
    </xdr:to>
    <xdr:sp macro="" textlink="">
      <xdr:nvSpPr>
        <xdr:cNvPr id="26" name="TextBox 25">
          <a:extLst>
            <a:ext uri="{FF2B5EF4-FFF2-40B4-BE49-F238E27FC236}">
              <a16:creationId xmlns:a16="http://schemas.microsoft.com/office/drawing/2014/main" id="{E8499D46-98AC-4F4B-9985-2CCF109559DB}"/>
            </a:ext>
          </a:extLst>
        </xdr:cNvPr>
        <xdr:cNvSpPr txBox="1"/>
      </xdr:nvSpPr>
      <xdr:spPr>
        <a:xfrm>
          <a:off x="3396344" y="2394857"/>
          <a:ext cx="774890" cy="41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latin typeface="+mn-lt"/>
              <a:ea typeface="+mn-ea"/>
              <a:cs typeface="+mn-cs"/>
            </a:rPr>
            <a:t>Cost</a:t>
          </a:r>
        </a:p>
      </xdr:txBody>
    </xdr:sp>
    <xdr:clientData/>
  </xdr:twoCellAnchor>
  <xdr:twoCellAnchor>
    <xdr:from>
      <xdr:col>9</xdr:col>
      <xdr:colOff>53571</xdr:colOff>
      <xdr:row>13</xdr:row>
      <xdr:rowOff>71330</xdr:rowOff>
    </xdr:from>
    <xdr:to>
      <xdr:col>10</xdr:col>
      <xdr:colOff>216855</xdr:colOff>
      <xdr:row>15</xdr:row>
      <xdr:rowOff>121176</xdr:rowOff>
    </xdr:to>
    <xdr:sp macro="" textlink="">
      <xdr:nvSpPr>
        <xdr:cNvPr id="27" name="TextBox 26">
          <a:extLst>
            <a:ext uri="{FF2B5EF4-FFF2-40B4-BE49-F238E27FC236}">
              <a16:creationId xmlns:a16="http://schemas.microsoft.com/office/drawing/2014/main" id="{8916B5F0-A607-42DB-8A3D-DFAEBBDACB9B}"/>
            </a:ext>
          </a:extLst>
        </xdr:cNvPr>
        <xdr:cNvSpPr txBox="1"/>
      </xdr:nvSpPr>
      <xdr:spPr>
        <a:xfrm>
          <a:off x="5558018" y="2417488"/>
          <a:ext cx="77489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latin typeface="+mn-lt"/>
              <a:ea typeface="+mn-ea"/>
              <a:cs typeface="+mn-cs"/>
            </a:rPr>
            <a:t>Profit</a:t>
          </a:r>
        </a:p>
      </xdr:txBody>
    </xdr:sp>
    <xdr:clientData/>
  </xdr:twoCellAnchor>
  <xdr:twoCellAnchor>
    <xdr:from>
      <xdr:col>5</xdr:col>
      <xdr:colOff>283028</xdr:colOff>
      <xdr:row>21</xdr:row>
      <xdr:rowOff>54429</xdr:rowOff>
    </xdr:from>
    <xdr:to>
      <xdr:col>10</xdr:col>
      <xdr:colOff>76199</xdr:colOff>
      <xdr:row>23</xdr:row>
      <xdr:rowOff>10886</xdr:rowOff>
    </xdr:to>
    <xdr:sp macro="" textlink="">
      <xdr:nvSpPr>
        <xdr:cNvPr id="28" name="TextBox 27">
          <a:extLst>
            <a:ext uri="{FF2B5EF4-FFF2-40B4-BE49-F238E27FC236}">
              <a16:creationId xmlns:a16="http://schemas.microsoft.com/office/drawing/2014/main" id="{3382B962-FB93-4F1F-841D-84771BC5CDF3}"/>
            </a:ext>
          </a:extLst>
        </xdr:cNvPr>
        <xdr:cNvSpPr txBox="1"/>
      </xdr:nvSpPr>
      <xdr:spPr>
        <a:xfrm>
          <a:off x="3331028" y="3940629"/>
          <a:ext cx="28411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latin typeface="+mn-lt"/>
              <a:ea typeface="+mn-ea"/>
              <a:cs typeface="+mn-cs"/>
            </a:rPr>
            <a:t>Regional Sales Distribution</a:t>
          </a:r>
        </a:p>
      </xdr:txBody>
    </xdr:sp>
    <xdr:clientData/>
  </xdr:twoCellAnchor>
  <xdr:twoCellAnchor>
    <xdr:from>
      <xdr:col>13</xdr:col>
      <xdr:colOff>163285</xdr:colOff>
      <xdr:row>21</xdr:row>
      <xdr:rowOff>87085</xdr:rowOff>
    </xdr:from>
    <xdr:to>
      <xdr:col>15</xdr:col>
      <xdr:colOff>424542</xdr:colOff>
      <xdr:row>23</xdr:row>
      <xdr:rowOff>141514</xdr:rowOff>
    </xdr:to>
    <xdr:sp macro="" textlink="">
      <xdr:nvSpPr>
        <xdr:cNvPr id="29" name="TextBox 28">
          <a:extLst>
            <a:ext uri="{FF2B5EF4-FFF2-40B4-BE49-F238E27FC236}">
              <a16:creationId xmlns:a16="http://schemas.microsoft.com/office/drawing/2014/main" id="{FCDF9D8C-B340-48FB-8FC4-F8C267367114}"/>
            </a:ext>
          </a:extLst>
        </xdr:cNvPr>
        <xdr:cNvSpPr txBox="1"/>
      </xdr:nvSpPr>
      <xdr:spPr>
        <a:xfrm>
          <a:off x="8088085" y="3973285"/>
          <a:ext cx="1480457"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latin typeface="+mn-lt"/>
              <a:ea typeface="+mn-ea"/>
              <a:cs typeface="+mn-cs"/>
            </a:rPr>
            <a:t>Sales by Product</a:t>
          </a:r>
        </a:p>
      </xdr:txBody>
    </xdr:sp>
    <xdr:clientData/>
  </xdr:twoCellAnchor>
  <xdr:twoCellAnchor>
    <xdr:from>
      <xdr:col>13</xdr:col>
      <xdr:colOff>43543</xdr:colOff>
      <xdr:row>7</xdr:row>
      <xdr:rowOff>21773</xdr:rowOff>
    </xdr:from>
    <xdr:to>
      <xdr:col>17</xdr:col>
      <xdr:colOff>87087</xdr:colOff>
      <xdr:row>8</xdr:row>
      <xdr:rowOff>130630</xdr:rowOff>
    </xdr:to>
    <xdr:sp macro="" textlink="">
      <xdr:nvSpPr>
        <xdr:cNvPr id="30" name="TextBox 29">
          <a:extLst>
            <a:ext uri="{FF2B5EF4-FFF2-40B4-BE49-F238E27FC236}">
              <a16:creationId xmlns:a16="http://schemas.microsoft.com/office/drawing/2014/main" id="{BDF0130D-99D7-4C79-9A20-179541E9D1F4}"/>
            </a:ext>
          </a:extLst>
        </xdr:cNvPr>
        <xdr:cNvSpPr txBox="1"/>
      </xdr:nvSpPr>
      <xdr:spPr>
        <a:xfrm>
          <a:off x="7968343" y="1317173"/>
          <a:ext cx="2481944"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75000"/>
                </a:schemeClr>
              </a:solidFill>
              <a:latin typeface="+mn-lt"/>
              <a:ea typeface="+mn-ea"/>
              <a:cs typeface="+mn-cs"/>
            </a:rPr>
            <a:t>Monthly Revenue Trend 2023 VS 2024</a:t>
          </a:r>
        </a:p>
      </xdr:txBody>
    </xdr:sp>
    <xdr:clientData/>
  </xdr:twoCellAnchor>
  <xdr:twoCellAnchor>
    <xdr:from>
      <xdr:col>5</xdr:col>
      <xdr:colOff>446315</xdr:colOff>
      <xdr:row>4</xdr:row>
      <xdr:rowOff>32657</xdr:rowOff>
    </xdr:from>
    <xdr:to>
      <xdr:col>13</xdr:col>
      <xdr:colOff>142875</xdr:colOff>
      <xdr:row>6</xdr:row>
      <xdr:rowOff>54428</xdr:rowOff>
    </xdr:to>
    <xdr:sp macro="" textlink="">
      <xdr:nvSpPr>
        <xdr:cNvPr id="32" name="TextBox 31">
          <a:extLst>
            <a:ext uri="{FF2B5EF4-FFF2-40B4-BE49-F238E27FC236}">
              <a16:creationId xmlns:a16="http://schemas.microsoft.com/office/drawing/2014/main" id="{95A6EECF-AB2E-462C-94D3-0E3945A19B98}"/>
            </a:ext>
          </a:extLst>
        </xdr:cNvPr>
        <xdr:cNvSpPr txBox="1"/>
      </xdr:nvSpPr>
      <xdr:spPr>
        <a:xfrm>
          <a:off x="3494315" y="756557"/>
          <a:ext cx="4573360"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2">
                  <a:lumMod val="75000"/>
                </a:schemeClr>
              </a:solidFill>
              <a:latin typeface="+mn-lt"/>
              <a:ea typeface="+mn-ea"/>
              <a:cs typeface="+mn-cs"/>
            </a:rPr>
            <a:t>FY</a:t>
          </a:r>
          <a:r>
            <a:rPr lang="en-GB" sz="1400" b="1" baseline="0">
              <a:solidFill>
                <a:schemeClr val="bg2">
                  <a:lumMod val="75000"/>
                </a:schemeClr>
              </a:solidFill>
              <a:latin typeface="+mn-lt"/>
              <a:ea typeface="+mn-ea"/>
              <a:cs typeface="+mn-cs"/>
            </a:rPr>
            <a:t> 2024 Sales Performance &amp; Profitability Analysis (YoY)</a:t>
          </a:r>
          <a:endParaRPr lang="en-GB" sz="1100">
            <a:solidFill>
              <a:schemeClr val="bg2">
                <a:lumMod val="75000"/>
              </a:schemeClr>
            </a:solidFill>
            <a:latin typeface="+mn-lt"/>
            <a:ea typeface="+mn-ea"/>
            <a:cs typeface="+mn-cs"/>
          </a:endParaRPr>
        </a:p>
      </xdr:txBody>
    </xdr:sp>
    <xdr:clientData/>
  </xdr:twoCellAnchor>
  <xdr:twoCellAnchor editAs="oneCell">
    <xdr:from>
      <xdr:col>5</xdr:col>
      <xdr:colOff>185057</xdr:colOff>
      <xdr:row>4</xdr:row>
      <xdr:rowOff>65314</xdr:rowOff>
    </xdr:from>
    <xdr:to>
      <xdr:col>5</xdr:col>
      <xdr:colOff>544286</xdr:colOff>
      <xdr:row>5</xdr:row>
      <xdr:rowOff>164646</xdr:rowOff>
    </xdr:to>
    <xdr:pic>
      <xdr:nvPicPr>
        <xdr:cNvPr id="34" name="Graphic 33" descr="Handshake with solid fill">
          <a:extLst>
            <a:ext uri="{FF2B5EF4-FFF2-40B4-BE49-F238E27FC236}">
              <a16:creationId xmlns:a16="http://schemas.microsoft.com/office/drawing/2014/main" id="{01788F9F-E461-40CF-B153-10A11A833D1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233057" y="805543"/>
          <a:ext cx="359229" cy="284389"/>
        </a:xfrm>
        <a:prstGeom prst="rect">
          <a:avLst/>
        </a:prstGeom>
      </xdr:spPr>
    </xdr:pic>
    <xdr:clientData/>
  </xdr:twoCellAnchor>
  <xdr:twoCellAnchor>
    <xdr:from>
      <xdr:col>5</xdr:col>
      <xdr:colOff>305661</xdr:colOff>
      <xdr:row>7</xdr:row>
      <xdr:rowOff>146527</xdr:rowOff>
    </xdr:from>
    <xdr:to>
      <xdr:col>7</xdr:col>
      <xdr:colOff>60158</xdr:colOff>
      <xdr:row>10</xdr:row>
      <xdr:rowOff>15899</xdr:rowOff>
    </xdr:to>
    <xdr:sp macro="" textlink="Sales">
      <xdr:nvSpPr>
        <xdr:cNvPr id="31" name="TextBox 30">
          <a:extLst>
            <a:ext uri="{FF2B5EF4-FFF2-40B4-BE49-F238E27FC236}">
              <a16:creationId xmlns:a16="http://schemas.microsoft.com/office/drawing/2014/main" id="{DDCAD78C-7565-4737-AE20-57064020692F}"/>
            </a:ext>
          </a:extLst>
        </xdr:cNvPr>
        <xdr:cNvSpPr txBox="1"/>
      </xdr:nvSpPr>
      <xdr:spPr>
        <a:xfrm>
          <a:off x="3363687" y="1409843"/>
          <a:ext cx="977708"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87036-456E-44BA-BA2C-407DA0E60C86}" type="TxLink">
            <a:rPr lang="en-US" sz="1600" b="1" i="0" u="none" strike="noStrike">
              <a:solidFill>
                <a:srgbClr val="919F8E"/>
              </a:solidFill>
              <a:latin typeface="Calibri"/>
              <a:ea typeface="Calibri"/>
              <a:cs typeface="Calibri"/>
            </a:rPr>
            <a:pPr/>
            <a:t>$475.6K</a:t>
          </a:fld>
          <a:endParaRPr lang="en-GB" sz="1600" b="1">
            <a:solidFill>
              <a:srgbClr val="919F8E"/>
            </a:solidFill>
          </a:endParaRPr>
        </a:p>
      </xdr:txBody>
    </xdr:sp>
    <xdr:clientData/>
  </xdr:twoCellAnchor>
  <xdr:twoCellAnchor>
    <xdr:from>
      <xdr:col>9</xdr:col>
      <xdr:colOff>21773</xdr:colOff>
      <xdr:row>7</xdr:row>
      <xdr:rowOff>156983</xdr:rowOff>
    </xdr:from>
    <xdr:to>
      <xdr:col>10</xdr:col>
      <xdr:colOff>185057</xdr:colOff>
      <xdr:row>10</xdr:row>
      <xdr:rowOff>26355</xdr:rowOff>
    </xdr:to>
    <xdr:sp macro="" textlink="Qty">
      <xdr:nvSpPr>
        <xdr:cNvPr id="33" name="TextBox 32">
          <a:extLst>
            <a:ext uri="{FF2B5EF4-FFF2-40B4-BE49-F238E27FC236}">
              <a16:creationId xmlns:a16="http://schemas.microsoft.com/office/drawing/2014/main" id="{EB060CD6-EE20-4B19-A519-8E96EB47CFCF}"/>
            </a:ext>
          </a:extLst>
        </xdr:cNvPr>
        <xdr:cNvSpPr txBox="1"/>
      </xdr:nvSpPr>
      <xdr:spPr>
        <a:xfrm>
          <a:off x="5526220" y="1420299"/>
          <a:ext cx="77489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BE1F98-F82C-47D3-963B-B6C87E6FE408}" type="TxLink">
            <a:rPr lang="en-US" sz="1600" b="1" i="0" u="none" strike="noStrike">
              <a:solidFill>
                <a:srgbClr val="919F8E"/>
              </a:solidFill>
              <a:latin typeface="Calibri"/>
              <a:ea typeface="Calibri"/>
              <a:cs typeface="Calibri"/>
            </a:rPr>
            <a:pPr/>
            <a:t>899</a:t>
          </a:fld>
          <a:endParaRPr lang="en-GB" sz="1600" b="1">
            <a:solidFill>
              <a:srgbClr val="919F8E"/>
            </a:solidFill>
          </a:endParaRPr>
        </a:p>
      </xdr:txBody>
    </xdr:sp>
    <xdr:clientData/>
  </xdr:twoCellAnchor>
  <xdr:twoCellAnchor>
    <xdr:from>
      <xdr:col>9</xdr:col>
      <xdr:colOff>24924</xdr:colOff>
      <xdr:row>14</xdr:row>
      <xdr:rowOff>142372</xdr:rowOff>
    </xdr:from>
    <xdr:to>
      <xdr:col>10</xdr:col>
      <xdr:colOff>188208</xdr:colOff>
      <xdr:row>17</xdr:row>
      <xdr:rowOff>11744</xdr:rowOff>
    </xdr:to>
    <xdr:sp macro="" textlink="Profit">
      <xdr:nvSpPr>
        <xdr:cNvPr id="35" name="TextBox 34">
          <a:extLst>
            <a:ext uri="{FF2B5EF4-FFF2-40B4-BE49-F238E27FC236}">
              <a16:creationId xmlns:a16="http://schemas.microsoft.com/office/drawing/2014/main" id="{FEF7D056-29E0-48BB-988F-1ECC36D6D9FE}"/>
            </a:ext>
          </a:extLst>
        </xdr:cNvPr>
        <xdr:cNvSpPr txBox="1"/>
      </xdr:nvSpPr>
      <xdr:spPr>
        <a:xfrm>
          <a:off x="5529371" y="2669004"/>
          <a:ext cx="77489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9C26C9-B24D-4529-9D6B-FF71F97B7761}" type="TxLink">
            <a:rPr lang="en-US" sz="1600" b="1" i="0" u="none" strike="noStrike">
              <a:solidFill>
                <a:srgbClr val="919F8E"/>
              </a:solidFill>
              <a:latin typeface="Calibri"/>
              <a:ea typeface="Calibri"/>
              <a:cs typeface="Calibri"/>
            </a:rPr>
            <a:pPr/>
            <a:t>$411.6K</a:t>
          </a:fld>
          <a:endParaRPr lang="en-GB" sz="1600" b="1">
            <a:solidFill>
              <a:srgbClr val="919F8E"/>
            </a:solidFill>
          </a:endParaRPr>
        </a:p>
      </xdr:txBody>
    </xdr:sp>
    <xdr:clientData/>
  </xdr:twoCellAnchor>
  <xdr:twoCellAnchor>
    <xdr:from>
      <xdr:col>5</xdr:col>
      <xdr:colOff>305660</xdr:colOff>
      <xdr:row>14</xdr:row>
      <xdr:rowOff>132346</xdr:rowOff>
    </xdr:from>
    <xdr:to>
      <xdr:col>6</xdr:col>
      <xdr:colOff>468944</xdr:colOff>
      <xdr:row>17</xdr:row>
      <xdr:rowOff>1718</xdr:rowOff>
    </xdr:to>
    <xdr:sp macro="" textlink="Cost">
      <xdr:nvSpPr>
        <xdr:cNvPr id="36" name="TextBox 35">
          <a:extLst>
            <a:ext uri="{FF2B5EF4-FFF2-40B4-BE49-F238E27FC236}">
              <a16:creationId xmlns:a16="http://schemas.microsoft.com/office/drawing/2014/main" id="{C7557436-9F32-404F-8539-1A9E4F0F58AA}"/>
            </a:ext>
          </a:extLst>
        </xdr:cNvPr>
        <xdr:cNvSpPr txBox="1"/>
      </xdr:nvSpPr>
      <xdr:spPr>
        <a:xfrm>
          <a:off x="3363686" y="2658978"/>
          <a:ext cx="77489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EF8B9-D204-4F24-BDD8-57B29E3DB16B}" type="TxLink">
            <a:rPr lang="en-US" sz="1600" b="1" i="0" u="none" strike="noStrike">
              <a:solidFill>
                <a:srgbClr val="919F8E"/>
              </a:solidFill>
              <a:latin typeface="Calibri"/>
              <a:ea typeface="Calibri"/>
              <a:cs typeface="Calibri"/>
            </a:rPr>
            <a:pPr/>
            <a:t>$64.0K</a:t>
          </a:fld>
          <a:endParaRPr lang="en-GB" sz="1600" b="1">
            <a:solidFill>
              <a:srgbClr val="919F8E"/>
            </a:solidFill>
          </a:endParaRPr>
        </a:p>
      </xdr:txBody>
    </xdr:sp>
    <xdr:clientData/>
  </xdr:twoCellAnchor>
  <xdr:twoCellAnchor>
    <xdr:from>
      <xdr:col>5</xdr:col>
      <xdr:colOff>305661</xdr:colOff>
      <xdr:row>10</xdr:row>
      <xdr:rowOff>52136</xdr:rowOff>
    </xdr:from>
    <xdr:to>
      <xdr:col>7</xdr:col>
      <xdr:colOff>381000</xdr:colOff>
      <xdr:row>12</xdr:row>
      <xdr:rowOff>101982</xdr:rowOff>
    </xdr:to>
    <xdr:sp macro="" textlink="YOYsales">
      <xdr:nvSpPr>
        <xdr:cNvPr id="37" name="TextBox 36">
          <a:extLst>
            <a:ext uri="{FF2B5EF4-FFF2-40B4-BE49-F238E27FC236}">
              <a16:creationId xmlns:a16="http://schemas.microsoft.com/office/drawing/2014/main" id="{88D11BA8-AF10-4FE8-A166-8138080C55AF}"/>
            </a:ext>
          </a:extLst>
        </xdr:cNvPr>
        <xdr:cNvSpPr txBox="1"/>
      </xdr:nvSpPr>
      <xdr:spPr>
        <a:xfrm>
          <a:off x="3363687" y="1856873"/>
          <a:ext cx="1298550"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E901A9-CE2B-41C6-83DC-92DE8295CDDA}" type="TxLink">
            <a:rPr lang="en-US" sz="1200" b="1" i="0" u="none" strike="noStrike">
              <a:solidFill>
                <a:srgbClr val="919F8E"/>
              </a:solidFill>
              <a:latin typeface="Calibri"/>
              <a:ea typeface="Calibri"/>
              <a:cs typeface="Calibri"/>
            </a:rPr>
            <a:pPr/>
            <a:t>▲30% VS LY</a:t>
          </a:fld>
          <a:endParaRPr lang="en-GB" sz="1200" b="1">
            <a:solidFill>
              <a:srgbClr val="919F8E"/>
            </a:solidFill>
          </a:endParaRPr>
        </a:p>
      </xdr:txBody>
    </xdr:sp>
    <xdr:clientData/>
  </xdr:twoCellAnchor>
  <xdr:twoCellAnchor>
    <xdr:from>
      <xdr:col>9</xdr:col>
      <xdr:colOff>21773</xdr:colOff>
      <xdr:row>10</xdr:row>
      <xdr:rowOff>32084</xdr:rowOff>
    </xdr:from>
    <xdr:to>
      <xdr:col>11</xdr:col>
      <xdr:colOff>147243</xdr:colOff>
      <xdr:row>12</xdr:row>
      <xdr:rowOff>81930</xdr:rowOff>
    </xdr:to>
    <xdr:sp macro="" textlink="YOYqty">
      <xdr:nvSpPr>
        <xdr:cNvPr id="38" name="TextBox 37">
          <a:extLst>
            <a:ext uri="{FF2B5EF4-FFF2-40B4-BE49-F238E27FC236}">
              <a16:creationId xmlns:a16="http://schemas.microsoft.com/office/drawing/2014/main" id="{F5EBEAC5-6B55-4D33-963D-905FB2618CA6}"/>
            </a:ext>
          </a:extLst>
        </xdr:cNvPr>
        <xdr:cNvSpPr txBox="1"/>
      </xdr:nvSpPr>
      <xdr:spPr>
        <a:xfrm>
          <a:off x="5526220" y="1836821"/>
          <a:ext cx="1348681"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0CF64F-3354-463A-953F-67DBEE6401FF}" type="TxLink">
            <a:rPr lang="en-US" sz="1200" b="1" i="0" u="none" strike="noStrike">
              <a:solidFill>
                <a:srgbClr val="919F8E"/>
              </a:solidFill>
              <a:latin typeface="Calibri"/>
              <a:ea typeface="Calibri"/>
              <a:cs typeface="Calibri"/>
            </a:rPr>
            <a:pPr/>
            <a:t>▲24% VS LY</a:t>
          </a:fld>
          <a:endParaRPr lang="en-GB" sz="1200" b="1">
            <a:solidFill>
              <a:srgbClr val="919F8E"/>
            </a:solidFill>
          </a:endParaRPr>
        </a:p>
      </xdr:txBody>
    </xdr:sp>
    <xdr:clientData/>
  </xdr:twoCellAnchor>
  <xdr:twoCellAnchor>
    <xdr:from>
      <xdr:col>9</xdr:col>
      <xdr:colOff>24925</xdr:colOff>
      <xdr:row>17</xdr:row>
      <xdr:rowOff>62162</xdr:rowOff>
    </xdr:from>
    <xdr:to>
      <xdr:col>11</xdr:col>
      <xdr:colOff>60158</xdr:colOff>
      <xdr:row>19</xdr:row>
      <xdr:rowOff>112008</xdr:rowOff>
    </xdr:to>
    <xdr:sp macro="" textlink="YOYprofit">
      <xdr:nvSpPr>
        <xdr:cNvPr id="39" name="TextBox 38">
          <a:extLst>
            <a:ext uri="{FF2B5EF4-FFF2-40B4-BE49-F238E27FC236}">
              <a16:creationId xmlns:a16="http://schemas.microsoft.com/office/drawing/2014/main" id="{07C28E44-FCAD-4B5F-B1AD-1095A58DEB9B}"/>
            </a:ext>
          </a:extLst>
        </xdr:cNvPr>
        <xdr:cNvSpPr txBox="1"/>
      </xdr:nvSpPr>
      <xdr:spPr>
        <a:xfrm>
          <a:off x="5529372" y="3130215"/>
          <a:ext cx="1258444"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8A3138-A60E-4EB1-92B2-888083391A42}" type="TxLink">
            <a:rPr lang="en-US" sz="1200" b="1" i="0" u="none" strike="noStrike">
              <a:solidFill>
                <a:srgbClr val="919F8E"/>
              </a:solidFill>
              <a:latin typeface="Calibri"/>
              <a:ea typeface="Calibri"/>
              <a:cs typeface="Calibri"/>
            </a:rPr>
            <a:pPr/>
            <a:t>▲34% VS LY</a:t>
          </a:fld>
          <a:endParaRPr lang="en-GB" sz="1200" b="1">
            <a:solidFill>
              <a:srgbClr val="919F8E"/>
            </a:solidFill>
          </a:endParaRPr>
        </a:p>
      </xdr:txBody>
    </xdr:sp>
    <xdr:clientData/>
  </xdr:twoCellAnchor>
  <xdr:twoCellAnchor>
    <xdr:from>
      <xdr:col>5</xdr:col>
      <xdr:colOff>265556</xdr:colOff>
      <xdr:row>17</xdr:row>
      <xdr:rowOff>42109</xdr:rowOff>
    </xdr:from>
    <xdr:to>
      <xdr:col>7</xdr:col>
      <xdr:colOff>411079</xdr:colOff>
      <xdr:row>19</xdr:row>
      <xdr:rowOff>91955</xdr:rowOff>
    </xdr:to>
    <xdr:sp macro="" textlink="YOYcost">
      <xdr:nvSpPr>
        <xdr:cNvPr id="40" name="TextBox 39">
          <a:extLst>
            <a:ext uri="{FF2B5EF4-FFF2-40B4-BE49-F238E27FC236}">
              <a16:creationId xmlns:a16="http://schemas.microsoft.com/office/drawing/2014/main" id="{41D82393-58A1-439F-8B0F-3BAC9ACFECC8}"/>
            </a:ext>
          </a:extLst>
        </xdr:cNvPr>
        <xdr:cNvSpPr txBox="1"/>
      </xdr:nvSpPr>
      <xdr:spPr>
        <a:xfrm>
          <a:off x="3323582" y="3110162"/>
          <a:ext cx="1368734" cy="41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330705-6CD9-4299-BBC7-3653D7B07A6F}" type="TxLink">
            <a:rPr lang="en-US" sz="1200" b="1" i="0" u="none" strike="noStrike">
              <a:solidFill>
                <a:srgbClr val="919F8E"/>
              </a:solidFill>
              <a:latin typeface="Calibri"/>
              <a:ea typeface="Calibri"/>
              <a:cs typeface="Calibri"/>
            </a:rPr>
            <a:pPr/>
            <a:t>▲11% VS LY</a:t>
          </a:fld>
          <a:endParaRPr lang="en-GB" sz="1200" b="1">
            <a:solidFill>
              <a:srgbClr val="919F8E"/>
            </a:solidFill>
          </a:endParaRPr>
        </a:p>
      </xdr:txBody>
    </xdr:sp>
    <xdr:clientData/>
  </xdr:twoCellAnchor>
  <xdr:twoCellAnchor>
    <xdr:from>
      <xdr:col>6</xdr:col>
      <xdr:colOff>421107</xdr:colOff>
      <xdr:row>6</xdr:row>
      <xdr:rowOff>160420</xdr:rowOff>
    </xdr:from>
    <xdr:to>
      <xdr:col>8</xdr:col>
      <xdr:colOff>551449</xdr:colOff>
      <xdr:row>12</xdr:row>
      <xdr:rowOff>140370</xdr:rowOff>
    </xdr:to>
    <xdr:graphicFrame macro="">
      <xdr:nvGraphicFramePr>
        <xdr:cNvPr id="41" name="Chart 40">
          <a:extLst>
            <a:ext uri="{FF2B5EF4-FFF2-40B4-BE49-F238E27FC236}">
              <a16:creationId xmlns:a16="http://schemas.microsoft.com/office/drawing/2014/main" id="{82BAE508-129B-4BDC-BCCE-2E4538502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511343</xdr:colOff>
      <xdr:row>6</xdr:row>
      <xdr:rowOff>120315</xdr:rowOff>
    </xdr:from>
    <xdr:to>
      <xdr:col>12</xdr:col>
      <xdr:colOff>391027</xdr:colOff>
      <xdr:row>12</xdr:row>
      <xdr:rowOff>80210</xdr:rowOff>
    </xdr:to>
    <xdr:graphicFrame macro="">
      <xdr:nvGraphicFramePr>
        <xdr:cNvPr id="42" name="Chart 41">
          <a:extLst>
            <a:ext uri="{FF2B5EF4-FFF2-40B4-BE49-F238E27FC236}">
              <a16:creationId xmlns:a16="http://schemas.microsoft.com/office/drawing/2014/main" id="{BD1CAEC9-C1A0-4A06-92C2-9D0C06E42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230604</xdr:colOff>
      <xdr:row>12</xdr:row>
      <xdr:rowOff>70183</xdr:rowOff>
    </xdr:from>
    <xdr:to>
      <xdr:col>8</xdr:col>
      <xdr:colOff>581526</xdr:colOff>
      <xdr:row>19</xdr:row>
      <xdr:rowOff>30078</xdr:rowOff>
    </xdr:to>
    <xdr:graphicFrame macro="">
      <xdr:nvGraphicFramePr>
        <xdr:cNvPr id="43" name="Chart 42">
          <a:extLst>
            <a:ext uri="{FF2B5EF4-FFF2-40B4-BE49-F238E27FC236}">
              <a16:creationId xmlns:a16="http://schemas.microsoft.com/office/drawing/2014/main" id="{14C4CCC8-CA9C-463F-B089-85F67040B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541420</xdr:colOff>
      <xdr:row>13</xdr:row>
      <xdr:rowOff>10026</xdr:rowOff>
    </xdr:from>
    <xdr:to>
      <xdr:col>12</xdr:col>
      <xdr:colOff>409875</xdr:colOff>
      <xdr:row>19</xdr:row>
      <xdr:rowOff>120315</xdr:rowOff>
    </xdr:to>
    <xdr:graphicFrame macro="">
      <xdr:nvGraphicFramePr>
        <xdr:cNvPr id="44" name="Chart 43">
          <a:extLst>
            <a:ext uri="{FF2B5EF4-FFF2-40B4-BE49-F238E27FC236}">
              <a16:creationId xmlns:a16="http://schemas.microsoft.com/office/drawing/2014/main" id="{02136133-95BE-40AC-A3D9-9F104A4C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54428</xdr:colOff>
      <xdr:row>8</xdr:row>
      <xdr:rowOff>54428</xdr:rowOff>
    </xdr:from>
    <xdr:to>
      <xdr:col>21</xdr:col>
      <xdr:colOff>228600</xdr:colOff>
      <xdr:row>19</xdr:row>
      <xdr:rowOff>108856</xdr:rowOff>
    </xdr:to>
    <xdr:graphicFrame macro="">
      <xdr:nvGraphicFramePr>
        <xdr:cNvPr id="56" name="Chart 55">
          <a:extLst>
            <a:ext uri="{FF2B5EF4-FFF2-40B4-BE49-F238E27FC236}">
              <a16:creationId xmlns:a16="http://schemas.microsoft.com/office/drawing/2014/main" id="{199E4B3C-2745-4BDA-A2E3-3CB72C707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261256</xdr:colOff>
      <xdr:row>22</xdr:row>
      <xdr:rowOff>87086</xdr:rowOff>
    </xdr:from>
    <xdr:to>
      <xdr:col>12</xdr:col>
      <xdr:colOff>152399</xdr:colOff>
      <xdr:row>31</xdr:row>
      <xdr:rowOff>152399</xdr:rowOff>
    </xdr:to>
    <xdr:graphicFrame macro="">
      <xdr:nvGraphicFramePr>
        <xdr:cNvPr id="59" name="Chart 58">
          <a:extLst>
            <a:ext uri="{FF2B5EF4-FFF2-40B4-BE49-F238E27FC236}">
              <a16:creationId xmlns:a16="http://schemas.microsoft.com/office/drawing/2014/main" id="{C2EBD2AF-97DB-4EC6-9E2B-87386CDFF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180975</xdr:colOff>
      <xdr:row>22</xdr:row>
      <xdr:rowOff>152399</xdr:rowOff>
    </xdr:from>
    <xdr:to>
      <xdr:col>21</xdr:col>
      <xdr:colOff>135255</xdr:colOff>
      <xdr:row>31</xdr:row>
      <xdr:rowOff>151041</xdr:rowOff>
    </xdr:to>
    <xdr:graphicFrame macro="">
      <xdr:nvGraphicFramePr>
        <xdr:cNvPr id="61" name="Chart 60">
          <a:extLst>
            <a:ext uri="{FF2B5EF4-FFF2-40B4-BE49-F238E27FC236}">
              <a16:creationId xmlns:a16="http://schemas.microsoft.com/office/drawing/2014/main" id="{7375FC56-2617-4D5E-B81D-A66512721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17</xdr:col>
      <xdr:colOff>514349</xdr:colOff>
      <xdr:row>3</xdr:row>
      <xdr:rowOff>152400</xdr:rowOff>
    </xdr:from>
    <xdr:to>
      <xdr:col>21</xdr:col>
      <xdr:colOff>161924</xdr:colOff>
      <xdr:row>5</xdr:row>
      <xdr:rowOff>161925</xdr:rowOff>
    </xdr:to>
    <mc:AlternateContent xmlns:mc="http://schemas.openxmlformats.org/markup-compatibility/2006" xmlns:a14="http://schemas.microsoft.com/office/drawing/2010/main">
      <mc:Choice Requires="a14">
        <xdr:graphicFrame macro="">
          <xdr:nvGraphicFramePr>
            <xdr:cNvPr id="64" name="Category">
              <a:extLst>
                <a:ext uri="{FF2B5EF4-FFF2-40B4-BE49-F238E27FC236}">
                  <a16:creationId xmlns:a16="http://schemas.microsoft.com/office/drawing/2014/main" id="{3C34AD19-169E-439B-9B0F-C467BE59D7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77549" y="695325"/>
              <a:ext cx="2085975" cy="371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459922</xdr:colOff>
      <xdr:row>3</xdr:row>
      <xdr:rowOff>152400</xdr:rowOff>
    </xdr:from>
    <xdr:to>
      <xdr:col>17</xdr:col>
      <xdr:colOff>342899</xdr:colOff>
      <xdr:row>5</xdr:row>
      <xdr:rowOff>123825</xdr:rowOff>
    </xdr:to>
    <xdr:sp macro="" textlink="Tdate">
      <xdr:nvSpPr>
        <xdr:cNvPr id="65" name="TextBox 64">
          <a:extLst>
            <a:ext uri="{FF2B5EF4-FFF2-40B4-BE49-F238E27FC236}">
              <a16:creationId xmlns:a16="http://schemas.microsoft.com/office/drawing/2014/main" id="{AB83A698-7FB3-4D8D-ADCA-2DEC3F1F4978}"/>
            </a:ext>
          </a:extLst>
        </xdr:cNvPr>
        <xdr:cNvSpPr txBox="1"/>
      </xdr:nvSpPr>
      <xdr:spPr>
        <a:xfrm>
          <a:off x="9603922" y="695325"/>
          <a:ext cx="110217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F90464-8945-4F9C-95EC-CDF6F8BACBAD}" type="TxLink">
            <a:rPr lang="en-US" sz="1100" b="0" i="0" u="none" strike="noStrike">
              <a:solidFill>
                <a:srgbClr val="8FA08D"/>
              </a:solidFill>
              <a:latin typeface="Calibri"/>
              <a:ea typeface="Calibri"/>
              <a:cs typeface="Calibri"/>
            </a:rPr>
            <a:pPr/>
            <a:t>15 March 2026</a:t>
          </a:fld>
          <a:endParaRPr lang="en-GB" sz="1100" b="1">
            <a:solidFill>
              <a:srgbClr val="8FA08D"/>
            </a:solidFill>
          </a:endParaRPr>
        </a:p>
      </xdr:txBody>
    </xdr:sp>
    <xdr:clientData/>
  </xdr:twoCellAnchor>
  <xdr:twoCellAnchor>
    <xdr:from>
      <xdr:col>5</xdr:col>
      <xdr:colOff>370116</xdr:colOff>
      <xdr:row>2</xdr:row>
      <xdr:rowOff>70757</xdr:rowOff>
    </xdr:from>
    <xdr:to>
      <xdr:col>10</xdr:col>
      <xdr:colOff>152400</xdr:colOff>
      <xdr:row>4</xdr:row>
      <xdr:rowOff>92528</xdr:rowOff>
    </xdr:to>
    <xdr:sp macro="" textlink="">
      <xdr:nvSpPr>
        <xdr:cNvPr id="66" name="TextBox 65">
          <a:extLst>
            <a:ext uri="{FF2B5EF4-FFF2-40B4-BE49-F238E27FC236}">
              <a16:creationId xmlns:a16="http://schemas.microsoft.com/office/drawing/2014/main" id="{B423853E-95C1-47B4-B1CC-2DF7736967F6}"/>
            </a:ext>
          </a:extLst>
        </xdr:cNvPr>
        <xdr:cNvSpPr txBox="1"/>
      </xdr:nvSpPr>
      <xdr:spPr>
        <a:xfrm>
          <a:off x="3418116" y="432707"/>
          <a:ext cx="2830284"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chemeClr val="bg2">
                  <a:lumMod val="75000"/>
                </a:schemeClr>
              </a:solidFill>
              <a:latin typeface="+mn-lt"/>
              <a:ea typeface="+mn-ea"/>
              <a:cs typeface="+mn-cs"/>
            </a:rPr>
            <a:t>Axon Electronics Ltd</a:t>
          </a:r>
          <a:endParaRPr lang="en-GB" sz="1200">
            <a:solidFill>
              <a:schemeClr val="bg2">
                <a:lumMod val="75000"/>
              </a:schemeClr>
            </a:solidFill>
            <a:latin typeface="+mn-lt"/>
            <a:ea typeface="+mn-ea"/>
            <a:cs typeface="+mn-cs"/>
          </a:endParaRPr>
        </a:p>
      </xdr:txBody>
    </xdr:sp>
    <xdr:clientData/>
  </xdr:twoCellAnchor>
  <xdr:twoCellAnchor>
    <xdr:from>
      <xdr:col>21</xdr:col>
      <xdr:colOff>517072</xdr:colOff>
      <xdr:row>9</xdr:row>
      <xdr:rowOff>123825</xdr:rowOff>
    </xdr:from>
    <xdr:to>
      <xdr:col>23</xdr:col>
      <xdr:colOff>400049</xdr:colOff>
      <xdr:row>11</xdr:row>
      <xdr:rowOff>95250</xdr:rowOff>
    </xdr:to>
    <xdr:sp macro="" textlink="profit_margin">
      <xdr:nvSpPr>
        <xdr:cNvPr id="45" name="TextBox 44">
          <a:extLst>
            <a:ext uri="{FF2B5EF4-FFF2-40B4-BE49-F238E27FC236}">
              <a16:creationId xmlns:a16="http://schemas.microsoft.com/office/drawing/2014/main" id="{84870F54-F597-4677-87E3-D8D66CF1CE4E}"/>
            </a:ext>
          </a:extLst>
        </xdr:cNvPr>
        <xdr:cNvSpPr txBox="1"/>
      </xdr:nvSpPr>
      <xdr:spPr>
        <a:xfrm>
          <a:off x="13318672" y="1752600"/>
          <a:ext cx="110217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A8507C-6B21-4496-80CC-4C96E6D853A9}" type="TxLink">
            <a:rPr lang="en-US" sz="2200" b="1" i="0" u="none" strike="noStrike">
              <a:solidFill>
                <a:srgbClr val="05FA10"/>
              </a:solidFill>
              <a:latin typeface="Calibri"/>
              <a:ea typeface="Calibri"/>
              <a:cs typeface="Calibri"/>
            </a:rPr>
            <a:t>87%</a:t>
          </a:fld>
          <a:endParaRPr lang="en-GB" sz="1100" b="1">
            <a:solidFill>
              <a:srgbClr val="8FA08D"/>
            </a:solidFill>
          </a:endParaRPr>
        </a:p>
      </xdr:txBody>
    </xdr:sp>
    <xdr:clientData/>
  </xdr:twoCellAnchor>
  <xdr:twoCellAnchor>
    <xdr:from>
      <xdr:col>21</xdr:col>
      <xdr:colOff>364672</xdr:colOff>
      <xdr:row>8</xdr:row>
      <xdr:rowOff>104775</xdr:rowOff>
    </xdr:from>
    <xdr:to>
      <xdr:col>23</xdr:col>
      <xdr:colOff>247649</xdr:colOff>
      <xdr:row>10</xdr:row>
      <xdr:rowOff>76200</xdr:rowOff>
    </xdr:to>
    <xdr:sp macro="" textlink="">
      <xdr:nvSpPr>
        <xdr:cNvPr id="46" name="TextBox 45">
          <a:extLst>
            <a:ext uri="{FF2B5EF4-FFF2-40B4-BE49-F238E27FC236}">
              <a16:creationId xmlns:a16="http://schemas.microsoft.com/office/drawing/2014/main" id="{D5EE20D7-B7B7-4946-9D4E-F531DAAFD0DC}"/>
            </a:ext>
          </a:extLst>
        </xdr:cNvPr>
        <xdr:cNvSpPr txBox="1"/>
      </xdr:nvSpPr>
      <xdr:spPr>
        <a:xfrm>
          <a:off x="13166272" y="1552575"/>
          <a:ext cx="110217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rgbClr val="919F8E"/>
              </a:solidFill>
              <a:latin typeface="Calibri"/>
              <a:ea typeface="Calibri"/>
              <a:cs typeface="Calibri"/>
            </a:rPr>
            <a:t>Profit Margin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rank/Downloads/Freedom_Analytics_%20Sales%20Perform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ALCULATIONS"/>
      <sheetName val="DASHBOARD"/>
    </sheetNames>
    <sheetDataSet>
      <sheetData sheetId="0" refreshError="1"/>
      <sheetData sheetId="1">
        <row r="2">
          <cell r="C2">
            <v>46095</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Frank/Downloads/Freedom_Analytics_%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refreshedDate="46095.040058796294" createdVersion="7" refreshedVersion="7" minRefreshableVersion="3" recordCount="300" xr:uid="{40E73C59-07DF-451A-A9AB-EF7C25BDF921}">
  <cacheSource type="worksheet">
    <worksheetSource name="Table2" r:id="rId2"/>
  </cacheSource>
  <cacheFields count="11">
    <cacheField name="OrderID" numFmtId="0">
      <sharedItems/>
    </cacheField>
    <cacheField name="Date" numFmtId="165">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9" base="1">
        <rangePr groupBy="months" startDate="2023-01-02T00:00:00" endDate="2024-12-27T00:00:00"/>
        <groupItems count="14">
          <s v="&lt;02/01/2023"/>
          <s v="Jan"/>
          <s v="Feb"/>
          <s v="Mar"/>
          <s v="Apr"/>
          <s v="May"/>
          <s v="Jun"/>
          <s v="Jul"/>
          <s v="Aug"/>
          <s v="Sep"/>
          <s v="Oct"/>
          <s v="Nov"/>
          <s v="Dec"/>
          <s v="&gt;27/12/2024"/>
        </groupItems>
      </fieldGroup>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Quarters" numFmtId="0" databaseField="0">
      <fieldGroup base="1">
        <rangePr groupBy="quarters" startDate="2023-01-02T00:00:00" endDate="2024-12-27T00:00:00"/>
        <groupItems count="6">
          <s v="&lt;02/01/2023"/>
          <s v="Qtr1"/>
          <s v="Qtr2"/>
          <s v="Qtr3"/>
          <s v="Qtr4"/>
          <s v="&gt;27/12/2024"/>
        </groupItems>
      </fieldGroup>
    </cacheField>
    <cacheField name="Years" numFmtId="0" databaseField="0">
      <fieldGroup base="1">
        <rangePr groupBy="years" startDate="2023-01-02T00:00:00" endDate="2024-12-27T00:00:00"/>
        <groupItems count="4">
          <s v="&lt;02/01/2023"/>
          <s v="2023"/>
          <s v="2024"/>
          <s v="&gt;27/12/2024"/>
        </groupItems>
      </fieldGroup>
    </cacheField>
    <cacheField name="Profit" numFmtId="0" formula="Sales-Cost" databaseField="0"/>
  </cacheFields>
  <extLst>
    <ext xmlns:x14="http://schemas.microsoft.com/office/spreadsheetml/2009/9/main" uri="{725AE2AE-9491-48be-B2B4-4EB974FC3084}">
      <x14:pivotCacheDefinition pivotCacheId="2131808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n v="1219.5"/>
    <n v="5"/>
    <n v="211.02"/>
  </r>
  <r>
    <s v="ORD0002"/>
    <x v="1"/>
    <x v="1"/>
    <x v="0"/>
    <x v="0"/>
    <n v="356.63"/>
    <n v="7"/>
    <n v="44.79"/>
  </r>
  <r>
    <s v="ORD0003"/>
    <x v="2"/>
    <x v="2"/>
    <x v="1"/>
    <x v="0"/>
    <n v="3194.55"/>
    <n v="4"/>
    <n v="578.5"/>
  </r>
  <r>
    <s v="ORD0004"/>
    <x v="3"/>
    <x v="3"/>
    <x v="0"/>
    <x v="1"/>
    <n v="3430.95"/>
    <n v="10"/>
    <n v="236.99"/>
  </r>
  <r>
    <s v="ORD0005"/>
    <x v="4"/>
    <x v="2"/>
    <x v="1"/>
    <x v="2"/>
    <n v="1047.44"/>
    <n v="5"/>
    <n v="141.27000000000001"/>
  </r>
  <r>
    <s v="ORD0006"/>
    <x v="5"/>
    <x v="4"/>
    <x v="1"/>
    <x v="0"/>
    <n v="961.37"/>
    <n v="7"/>
    <n v="95.44"/>
  </r>
  <r>
    <s v="ORD0007"/>
    <x v="6"/>
    <x v="5"/>
    <x v="1"/>
    <x v="3"/>
    <n v="5221.42"/>
    <n v="8"/>
    <n v="438.26"/>
  </r>
  <r>
    <s v="ORD0008"/>
    <x v="7"/>
    <x v="3"/>
    <x v="0"/>
    <x v="0"/>
    <n v="4493.2"/>
    <n v="5"/>
    <n v="666.94"/>
  </r>
  <r>
    <s v="ORD0009"/>
    <x v="8"/>
    <x v="4"/>
    <x v="1"/>
    <x v="1"/>
    <n v="132.79"/>
    <n v="2"/>
    <n v="55.74"/>
  </r>
  <r>
    <s v="ORD0010"/>
    <x v="9"/>
    <x v="4"/>
    <x v="1"/>
    <x v="0"/>
    <n v="811.1"/>
    <n v="2"/>
    <n v="316.5"/>
  </r>
  <r>
    <s v="ORD0011"/>
    <x v="10"/>
    <x v="4"/>
    <x v="1"/>
    <x v="1"/>
    <n v="1328.1"/>
    <n v="6"/>
    <n v="183.42"/>
  </r>
  <r>
    <s v="ORD0012"/>
    <x v="11"/>
    <x v="0"/>
    <x v="0"/>
    <x v="0"/>
    <n v="1569.15"/>
    <n v="3"/>
    <n v="436.63"/>
  </r>
  <r>
    <s v="ORD0013"/>
    <x v="12"/>
    <x v="3"/>
    <x v="0"/>
    <x v="2"/>
    <n v="2117.1999999999998"/>
    <n v="9"/>
    <n v="191.3"/>
  </r>
  <r>
    <s v="ORD0014"/>
    <x v="13"/>
    <x v="1"/>
    <x v="0"/>
    <x v="1"/>
    <n v="2250.09"/>
    <n v="6"/>
    <n v="332.91"/>
  </r>
  <r>
    <s v="ORD0015"/>
    <x v="14"/>
    <x v="5"/>
    <x v="1"/>
    <x v="3"/>
    <n v="3853.23"/>
    <n v="8"/>
    <n v="328.59"/>
  </r>
  <r>
    <s v="ORD0016"/>
    <x v="15"/>
    <x v="3"/>
    <x v="0"/>
    <x v="1"/>
    <n v="843.88"/>
    <n v="3"/>
    <n v="212.37"/>
  </r>
  <r>
    <s v="ORD0017"/>
    <x v="16"/>
    <x v="4"/>
    <x v="1"/>
    <x v="2"/>
    <n v="3172.52"/>
    <n v="7"/>
    <n v="302.36"/>
  </r>
  <r>
    <s v="ORD0018"/>
    <x v="17"/>
    <x v="2"/>
    <x v="1"/>
    <x v="2"/>
    <n v="803.11"/>
    <n v="1"/>
    <n v="691.66"/>
  </r>
  <r>
    <s v="ORD0019"/>
    <x v="18"/>
    <x v="2"/>
    <x v="1"/>
    <x v="2"/>
    <n v="856.87"/>
    <n v="2"/>
    <n v="320.12"/>
  </r>
  <r>
    <s v="ORD0020"/>
    <x v="19"/>
    <x v="3"/>
    <x v="0"/>
    <x v="3"/>
    <n v="630.91"/>
    <n v="1"/>
    <n v="550.62"/>
  </r>
  <r>
    <s v="ORD0021"/>
    <x v="20"/>
    <x v="5"/>
    <x v="1"/>
    <x v="3"/>
    <n v="817.92"/>
    <n v="6"/>
    <n v="107.01"/>
  </r>
  <r>
    <s v="ORD0022"/>
    <x v="21"/>
    <x v="3"/>
    <x v="0"/>
    <x v="0"/>
    <n v="7204.65"/>
    <n v="9"/>
    <n v="614.33000000000004"/>
  </r>
  <r>
    <s v="ORD0023"/>
    <x v="22"/>
    <x v="1"/>
    <x v="0"/>
    <x v="3"/>
    <n v="5172.8599999999997"/>
    <n v="9"/>
    <n v="495"/>
  </r>
  <r>
    <s v="ORD0024"/>
    <x v="23"/>
    <x v="2"/>
    <x v="1"/>
    <x v="0"/>
    <n v="2755.02"/>
    <n v="6"/>
    <n v="401.11"/>
  </r>
  <r>
    <s v="ORD0025"/>
    <x v="24"/>
    <x v="4"/>
    <x v="1"/>
    <x v="3"/>
    <n v="275.83999999999997"/>
    <n v="1"/>
    <n v="207.88"/>
  </r>
  <r>
    <s v="ORD0026"/>
    <x v="25"/>
    <x v="1"/>
    <x v="0"/>
    <x v="0"/>
    <n v="2055.84"/>
    <n v="2"/>
    <n v="782.83"/>
  </r>
  <r>
    <s v="ORD0027"/>
    <x v="26"/>
    <x v="2"/>
    <x v="1"/>
    <x v="1"/>
    <n v="7075.97"/>
    <n v="8"/>
    <n v="758.54"/>
  </r>
  <r>
    <s v="ORD0028"/>
    <x v="27"/>
    <x v="5"/>
    <x v="1"/>
    <x v="2"/>
    <n v="7542.93"/>
    <n v="9"/>
    <n v="609.11"/>
  </r>
  <r>
    <s v="ORD0029"/>
    <x v="28"/>
    <x v="0"/>
    <x v="0"/>
    <x v="3"/>
    <n v="2836.67"/>
    <n v="6"/>
    <n v="361.72"/>
  </r>
  <r>
    <s v="ORD0030"/>
    <x v="29"/>
    <x v="1"/>
    <x v="0"/>
    <x v="1"/>
    <n v="757.69"/>
    <n v="2"/>
    <n v="283.70999999999998"/>
  </r>
  <r>
    <s v="ORD0031"/>
    <x v="30"/>
    <x v="2"/>
    <x v="1"/>
    <x v="1"/>
    <n v="1285.6099999999999"/>
    <n v="2"/>
    <n v="572.12"/>
  </r>
  <r>
    <s v="ORD0032"/>
    <x v="31"/>
    <x v="1"/>
    <x v="0"/>
    <x v="0"/>
    <n v="1020.09"/>
    <n v="2"/>
    <n v="421.04"/>
  </r>
  <r>
    <s v="ORD0033"/>
    <x v="32"/>
    <x v="3"/>
    <x v="0"/>
    <x v="1"/>
    <n v="2546.5300000000002"/>
    <n v="3"/>
    <n v="584.22"/>
  </r>
  <r>
    <s v="ORD0034"/>
    <x v="33"/>
    <x v="5"/>
    <x v="1"/>
    <x v="2"/>
    <n v="6114.64"/>
    <n v="8"/>
    <n v="649.85"/>
  </r>
  <r>
    <s v="ORD0035"/>
    <x v="34"/>
    <x v="1"/>
    <x v="0"/>
    <x v="2"/>
    <n v="3447.05"/>
    <n v="7"/>
    <n v="340.66"/>
  </r>
  <r>
    <s v="ORD0036"/>
    <x v="35"/>
    <x v="1"/>
    <x v="0"/>
    <x v="0"/>
    <n v="5845.79"/>
    <n v="7"/>
    <n v="588.01"/>
  </r>
  <r>
    <s v="ORD0037"/>
    <x v="36"/>
    <x v="1"/>
    <x v="0"/>
    <x v="1"/>
    <n v="2026.83"/>
    <n v="4"/>
    <n v="438.3"/>
  </r>
  <r>
    <s v="ORD0038"/>
    <x v="37"/>
    <x v="2"/>
    <x v="1"/>
    <x v="3"/>
    <n v="3173.92"/>
    <n v="4"/>
    <n v="702.1"/>
  </r>
  <r>
    <s v="ORD0039"/>
    <x v="38"/>
    <x v="5"/>
    <x v="1"/>
    <x v="0"/>
    <n v="8998.33"/>
    <n v="9"/>
    <n v="672.1"/>
  </r>
  <r>
    <s v="ORD0040"/>
    <x v="39"/>
    <x v="2"/>
    <x v="1"/>
    <x v="1"/>
    <n v="4574.24"/>
    <n v="8"/>
    <n v="395.46"/>
  </r>
  <r>
    <s v="ORD0041"/>
    <x v="40"/>
    <x v="1"/>
    <x v="0"/>
    <x v="1"/>
    <n v="951.04"/>
    <n v="1"/>
    <n v="788.54"/>
  </r>
  <r>
    <s v="ORD0042"/>
    <x v="41"/>
    <x v="3"/>
    <x v="0"/>
    <x v="3"/>
    <n v="6248.51"/>
    <n v="9"/>
    <n v="536.26"/>
  </r>
  <r>
    <s v="ORD0043"/>
    <x v="42"/>
    <x v="2"/>
    <x v="1"/>
    <x v="3"/>
    <n v="621.25"/>
    <n v="1"/>
    <n v="471.76"/>
  </r>
  <r>
    <s v="ORD0044"/>
    <x v="43"/>
    <x v="0"/>
    <x v="0"/>
    <x v="3"/>
    <n v="618.9"/>
    <n v="1"/>
    <n v="475.66"/>
  </r>
  <r>
    <s v="ORD0045"/>
    <x v="43"/>
    <x v="5"/>
    <x v="1"/>
    <x v="1"/>
    <n v="871.83"/>
    <n v="9"/>
    <n v="82.49"/>
  </r>
  <r>
    <s v="ORD0046"/>
    <x v="44"/>
    <x v="5"/>
    <x v="1"/>
    <x v="0"/>
    <n v="1978.34"/>
    <n v="4"/>
    <n v="334.94"/>
  </r>
  <r>
    <s v="ORD0047"/>
    <x v="45"/>
    <x v="5"/>
    <x v="1"/>
    <x v="1"/>
    <n v="577.72"/>
    <n v="10"/>
    <n v="51"/>
  </r>
  <r>
    <s v="ORD0048"/>
    <x v="46"/>
    <x v="0"/>
    <x v="0"/>
    <x v="3"/>
    <n v="2659.17"/>
    <n v="4"/>
    <n v="542.39"/>
  </r>
  <r>
    <s v="ORD0049"/>
    <x v="47"/>
    <x v="4"/>
    <x v="1"/>
    <x v="2"/>
    <n v="2771.33"/>
    <n v="5"/>
    <n v="376.64"/>
  </r>
  <r>
    <s v="ORD0050"/>
    <x v="48"/>
    <x v="1"/>
    <x v="0"/>
    <x v="0"/>
    <n v="11969.38"/>
    <n v="10"/>
    <n v="798.79"/>
  </r>
  <r>
    <s v="ORD0051"/>
    <x v="49"/>
    <x v="1"/>
    <x v="0"/>
    <x v="1"/>
    <n v="764.34"/>
    <n v="5"/>
    <n v="123.32"/>
  </r>
  <r>
    <s v="ORD0052"/>
    <x v="50"/>
    <x v="1"/>
    <x v="0"/>
    <x v="1"/>
    <n v="1025.24"/>
    <n v="5"/>
    <n v="143.04"/>
  </r>
  <r>
    <s v="ORD0053"/>
    <x v="51"/>
    <x v="0"/>
    <x v="0"/>
    <x v="3"/>
    <n v="335.17"/>
    <n v="9"/>
    <n v="26.1"/>
  </r>
  <r>
    <s v="ORD0054"/>
    <x v="52"/>
    <x v="4"/>
    <x v="1"/>
    <x v="0"/>
    <n v="628.72"/>
    <n v="5"/>
    <n v="110.03"/>
  </r>
  <r>
    <s v="ORD0055"/>
    <x v="53"/>
    <x v="5"/>
    <x v="1"/>
    <x v="1"/>
    <n v="3410.54"/>
    <n v="5"/>
    <n v="491.77"/>
  </r>
  <r>
    <s v="ORD0056"/>
    <x v="54"/>
    <x v="2"/>
    <x v="1"/>
    <x v="3"/>
    <n v="2527"/>
    <n v="8"/>
    <n v="215.87"/>
  </r>
  <r>
    <s v="ORD0057"/>
    <x v="55"/>
    <x v="1"/>
    <x v="0"/>
    <x v="0"/>
    <n v="5217.38"/>
    <n v="7"/>
    <n v="666.89"/>
  </r>
  <r>
    <s v="ORD0058"/>
    <x v="56"/>
    <x v="4"/>
    <x v="1"/>
    <x v="1"/>
    <n v="932.21"/>
    <n v="5"/>
    <n v="146.03"/>
  </r>
  <r>
    <s v="ORD0059"/>
    <x v="2"/>
    <x v="0"/>
    <x v="0"/>
    <x v="2"/>
    <n v="158.53"/>
    <n v="1"/>
    <n v="107.26"/>
  </r>
  <r>
    <s v="ORD0060"/>
    <x v="57"/>
    <x v="0"/>
    <x v="0"/>
    <x v="1"/>
    <n v="894.42"/>
    <n v="1"/>
    <n v="670.98"/>
  </r>
  <r>
    <s v="ORD0061"/>
    <x v="58"/>
    <x v="2"/>
    <x v="1"/>
    <x v="2"/>
    <n v="380.14"/>
    <n v="1"/>
    <n v="260.44"/>
  </r>
  <r>
    <s v="ORD0062"/>
    <x v="59"/>
    <x v="1"/>
    <x v="0"/>
    <x v="3"/>
    <n v="2682.62"/>
    <n v="4"/>
    <n v="540.21"/>
  </r>
  <r>
    <s v="ORD0063"/>
    <x v="60"/>
    <x v="5"/>
    <x v="1"/>
    <x v="2"/>
    <n v="2659.75"/>
    <n v="3"/>
    <n v="742.1"/>
  </r>
  <r>
    <s v="ORD0064"/>
    <x v="61"/>
    <x v="2"/>
    <x v="1"/>
    <x v="1"/>
    <n v="235.02"/>
    <n v="1"/>
    <n v="159.9"/>
  </r>
  <r>
    <s v="ORD0065"/>
    <x v="62"/>
    <x v="3"/>
    <x v="0"/>
    <x v="1"/>
    <n v="2174.9499999999998"/>
    <n v="3"/>
    <n v="634.15"/>
  </r>
  <r>
    <s v="ORD0066"/>
    <x v="63"/>
    <x v="1"/>
    <x v="0"/>
    <x v="2"/>
    <n v="3374.36"/>
    <n v="4"/>
    <n v="656.94"/>
  </r>
  <r>
    <s v="ORD0067"/>
    <x v="64"/>
    <x v="4"/>
    <x v="1"/>
    <x v="1"/>
    <n v="673.56"/>
    <n v="1"/>
    <n v="534.83000000000004"/>
  </r>
  <r>
    <s v="ORD0068"/>
    <x v="65"/>
    <x v="4"/>
    <x v="1"/>
    <x v="0"/>
    <n v="3933.52"/>
    <n v="6"/>
    <n v="520.36"/>
  </r>
  <r>
    <s v="ORD0069"/>
    <x v="66"/>
    <x v="5"/>
    <x v="1"/>
    <x v="3"/>
    <n v="1696.13"/>
    <n v="2"/>
    <n v="704.09"/>
  </r>
  <r>
    <s v="ORD0070"/>
    <x v="67"/>
    <x v="5"/>
    <x v="1"/>
    <x v="3"/>
    <n v="1201.94"/>
    <n v="2"/>
    <n v="485.33"/>
  </r>
  <r>
    <s v="ORD0071"/>
    <x v="68"/>
    <x v="4"/>
    <x v="1"/>
    <x v="2"/>
    <n v="1447.83"/>
    <n v="9"/>
    <n v="110.2"/>
  </r>
  <r>
    <s v="ORD0072"/>
    <x v="69"/>
    <x v="2"/>
    <x v="1"/>
    <x v="3"/>
    <n v="219.42"/>
    <n v="7"/>
    <n v="21.32"/>
  </r>
  <r>
    <s v="ORD0073"/>
    <x v="70"/>
    <x v="5"/>
    <x v="1"/>
    <x v="1"/>
    <n v="712.97"/>
    <n v="7"/>
    <n v="74.58"/>
  </r>
  <r>
    <s v="ORD0074"/>
    <x v="71"/>
    <x v="4"/>
    <x v="1"/>
    <x v="3"/>
    <n v="1418.79"/>
    <n v="2"/>
    <n v="581.41"/>
  </r>
  <r>
    <s v="ORD0075"/>
    <x v="72"/>
    <x v="4"/>
    <x v="1"/>
    <x v="2"/>
    <n v="5216.66"/>
    <n v="7"/>
    <n v="563.82000000000005"/>
  </r>
  <r>
    <s v="ORD0076"/>
    <x v="73"/>
    <x v="2"/>
    <x v="1"/>
    <x v="2"/>
    <n v="5608.04"/>
    <n v="7"/>
    <n v="548.30999999999995"/>
  </r>
  <r>
    <s v="ORD0077"/>
    <x v="74"/>
    <x v="5"/>
    <x v="1"/>
    <x v="3"/>
    <n v="7369.35"/>
    <n v="9"/>
    <n v="670.31"/>
  </r>
  <r>
    <s v="ORD0078"/>
    <x v="75"/>
    <x v="2"/>
    <x v="1"/>
    <x v="2"/>
    <n v="6824.39"/>
    <n v="10"/>
    <n v="530.66999999999996"/>
  </r>
  <r>
    <s v="ORD0079"/>
    <x v="76"/>
    <x v="3"/>
    <x v="0"/>
    <x v="1"/>
    <n v="7587.17"/>
    <n v="8"/>
    <n v="639.11"/>
  </r>
  <r>
    <s v="ORD0080"/>
    <x v="77"/>
    <x v="0"/>
    <x v="0"/>
    <x v="1"/>
    <n v="659.15"/>
    <n v="2"/>
    <n v="241.35"/>
  </r>
  <r>
    <s v="ORD0081"/>
    <x v="78"/>
    <x v="5"/>
    <x v="1"/>
    <x v="3"/>
    <n v="2592.84"/>
    <n v="4"/>
    <n v="544.78"/>
  </r>
  <r>
    <s v="ORD0082"/>
    <x v="0"/>
    <x v="2"/>
    <x v="1"/>
    <x v="1"/>
    <n v="272.18"/>
    <n v="1"/>
    <n v="210.98"/>
  </r>
  <r>
    <s v="ORD0083"/>
    <x v="79"/>
    <x v="1"/>
    <x v="0"/>
    <x v="2"/>
    <n v="2366.4"/>
    <n v="10"/>
    <n v="171.66"/>
  </r>
  <r>
    <s v="ORD0084"/>
    <x v="80"/>
    <x v="3"/>
    <x v="0"/>
    <x v="2"/>
    <n v="1758.25"/>
    <n v="3"/>
    <n v="531.73"/>
  </r>
  <r>
    <s v="ORD0085"/>
    <x v="81"/>
    <x v="1"/>
    <x v="0"/>
    <x v="2"/>
    <n v="2676.27"/>
    <n v="3"/>
    <n v="647.21"/>
  </r>
  <r>
    <s v="ORD0086"/>
    <x v="82"/>
    <x v="3"/>
    <x v="0"/>
    <x v="0"/>
    <n v="3379.61"/>
    <n v="4"/>
    <n v="735.63"/>
  </r>
  <r>
    <s v="ORD0087"/>
    <x v="83"/>
    <x v="2"/>
    <x v="1"/>
    <x v="2"/>
    <n v="9521.2099999999991"/>
    <n v="9"/>
    <n v="790.56"/>
  </r>
  <r>
    <s v="ORD0088"/>
    <x v="84"/>
    <x v="3"/>
    <x v="0"/>
    <x v="2"/>
    <n v="8047.37"/>
    <n v="8"/>
    <n v="719.82"/>
  </r>
  <r>
    <s v="ORD0089"/>
    <x v="85"/>
    <x v="3"/>
    <x v="0"/>
    <x v="2"/>
    <n v="3269.93"/>
    <n v="4"/>
    <n v="675.09"/>
  </r>
  <r>
    <s v="ORD0090"/>
    <x v="86"/>
    <x v="5"/>
    <x v="1"/>
    <x v="2"/>
    <n v="1059.47"/>
    <n v="4"/>
    <n v="234.19"/>
  </r>
  <r>
    <s v="ORD0091"/>
    <x v="53"/>
    <x v="4"/>
    <x v="1"/>
    <x v="1"/>
    <n v="2127.04"/>
    <n v="6"/>
    <n v="269.37"/>
  </r>
  <r>
    <s v="ORD0092"/>
    <x v="87"/>
    <x v="2"/>
    <x v="1"/>
    <x v="1"/>
    <n v="5432.05"/>
    <n v="7"/>
    <n v="561.28"/>
  </r>
  <r>
    <s v="ORD0093"/>
    <x v="88"/>
    <x v="1"/>
    <x v="0"/>
    <x v="2"/>
    <n v="3367.67"/>
    <n v="6"/>
    <n v="443.24"/>
  </r>
  <r>
    <s v="ORD0094"/>
    <x v="89"/>
    <x v="2"/>
    <x v="1"/>
    <x v="2"/>
    <n v="8396.4500000000007"/>
    <n v="10"/>
    <n v="757.93"/>
  </r>
  <r>
    <s v="ORD0095"/>
    <x v="90"/>
    <x v="5"/>
    <x v="1"/>
    <x v="2"/>
    <n v="921.1"/>
    <n v="1"/>
    <n v="755.34"/>
  </r>
  <r>
    <s v="ORD0096"/>
    <x v="91"/>
    <x v="3"/>
    <x v="0"/>
    <x v="2"/>
    <n v="8455.77"/>
    <n v="9"/>
    <n v="643.9"/>
  </r>
  <r>
    <s v="ORD0097"/>
    <x v="92"/>
    <x v="3"/>
    <x v="0"/>
    <x v="1"/>
    <n v="3504.97"/>
    <n v="7"/>
    <n v="398.8"/>
  </r>
  <r>
    <s v="ORD0098"/>
    <x v="93"/>
    <x v="0"/>
    <x v="0"/>
    <x v="2"/>
    <n v="8801.4"/>
    <n v="8"/>
    <n v="737.24"/>
  </r>
  <r>
    <s v="ORD0099"/>
    <x v="94"/>
    <x v="5"/>
    <x v="1"/>
    <x v="0"/>
    <n v="5112.42"/>
    <n v="10"/>
    <n v="460.23"/>
  </r>
  <r>
    <s v="ORD0100"/>
    <x v="95"/>
    <x v="0"/>
    <x v="0"/>
    <x v="2"/>
    <n v="1558.06"/>
    <n v="8"/>
    <n v="161.75"/>
  </r>
  <r>
    <s v="ORD0101"/>
    <x v="96"/>
    <x v="4"/>
    <x v="1"/>
    <x v="1"/>
    <n v="2467.4299999999998"/>
    <n v="6"/>
    <n v="283.25"/>
  </r>
  <r>
    <s v="ORD0102"/>
    <x v="97"/>
    <x v="4"/>
    <x v="1"/>
    <x v="2"/>
    <n v="1082.8499999999999"/>
    <n v="2"/>
    <n v="386.84"/>
  </r>
  <r>
    <s v="ORD0103"/>
    <x v="98"/>
    <x v="1"/>
    <x v="0"/>
    <x v="3"/>
    <n v="1712.74"/>
    <n v="2"/>
    <n v="629.36"/>
  </r>
  <r>
    <s v="ORD0104"/>
    <x v="99"/>
    <x v="1"/>
    <x v="0"/>
    <x v="1"/>
    <n v="603.26"/>
    <n v="1"/>
    <n v="504.64"/>
  </r>
  <r>
    <s v="ORD0105"/>
    <x v="100"/>
    <x v="3"/>
    <x v="0"/>
    <x v="0"/>
    <n v="1840.93"/>
    <n v="4"/>
    <n v="382.73"/>
  </r>
  <r>
    <s v="ORD0106"/>
    <x v="68"/>
    <x v="4"/>
    <x v="1"/>
    <x v="1"/>
    <n v="10706.26"/>
    <n v="10"/>
    <n v="771.71"/>
  </r>
  <r>
    <s v="ORD0107"/>
    <x v="101"/>
    <x v="2"/>
    <x v="1"/>
    <x v="3"/>
    <n v="490.28"/>
    <n v="10"/>
    <n v="40.03"/>
  </r>
  <r>
    <s v="ORD0108"/>
    <x v="102"/>
    <x v="0"/>
    <x v="0"/>
    <x v="2"/>
    <n v="436.44"/>
    <n v="4"/>
    <n v="79.28"/>
  </r>
  <r>
    <s v="ORD0109"/>
    <x v="103"/>
    <x v="0"/>
    <x v="0"/>
    <x v="1"/>
    <n v="4578.2"/>
    <n v="5"/>
    <n v="683.23"/>
  </r>
  <r>
    <s v="ORD0110"/>
    <x v="104"/>
    <x v="1"/>
    <x v="0"/>
    <x v="0"/>
    <n v="3978.32"/>
    <n v="9"/>
    <n v="354.13"/>
  </r>
  <r>
    <s v="ORD0111"/>
    <x v="105"/>
    <x v="5"/>
    <x v="1"/>
    <x v="3"/>
    <n v="5288.39"/>
    <n v="7"/>
    <n v="661.42"/>
  </r>
  <r>
    <s v="ORD0112"/>
    <x v="106"/>
    <x v="4"/>
    <x v="1"/>
    <x v="2"/>
    <n v="1503.66"/>
    <n v="3"/>
    <n v="359.68"/>
  </r>
  <r>
    <s v="ORD0113"/>
    <x v="107"/>
    <x v="0"/>
    <x v="0"/>
    <x v="3"/>
    <n v="7224.44"/>
    <n v="9"/>
    <n v="624.22"/>
  </r>
  <r>
    <s v="ORD0114"/>
    <x v="108"/>
    <x v="0"/>
    <x v="0"/>
    <x v="3"/>
    <n v="3031.69"/>
    <n v="4"/>
    <n v="667.97"/>
  </r>
  <r>
    <s v="ORD0115"/>
    <x v="109"/>
    <x v="3"/>
    <x v="0"/>
    <x v="1"/>
    <n v="6208.67"/>
    <n v="10"/>
    <n v="496.06"/>
  </r>
  <r>
    <s v="ORD0116"/>
    <x v="110"/>
    <x v="1"/>
    <x v="0"/>
    <x v="2"/>
    <n v="1491.4"/>
    <n v="3"/>
    <n v="400.29"/>
  </r>
  <r>
    <s v="ORD0117"/>
    <x v="111"/>
    <x v="4"/>
    <x v="1"/>
    <x v="3"/>
    <n v="6862.61"/>
    <n v="10"/>
    <n v="566.91999999999996"/>
  </r>
  <r>
    <s v="ORD0118"/>
    <x v="112"/>
    <x v="1"/>
    <x v="0"/>
    <x v="1"/>
    <n v="3014"/>
    <n v="4"/>
    <n v="581.66"/>
  </r>
  <r>
    <s v="ORD0119"/>
    <x v="113"/>
    <x v="2"/>
    <x v="1"/>
    <x v="2"/>
    <n v="3272.7"/>
    <n v="8"/>
    <n v="369.58"/>
  </r>
  <r>
    <s v="ORD0120"/>
    <x v="114"/>
    <x v="4"/>
    <x v="1"/>
    <x v="1"/>
    <n v="1379.74"/>
    <n v="4"/>
    <n v="258.83999999999997"/>
  </r>
  <r>
    <s v="ORD0121"/>
    <x v="115"/>
    <x v="3"/>
    <x v="0"/>
    <x v="3"/>
    <n v="3455.87"/>
    <n v="9"/>
    <n v="278.02"/>
  </r>
  <r>
    <s v="ORD0122"/>
    <x v="116"/>
    <x v="4"/>
    <x v="1"/>
    <x v="3"/>
    <n v="537.25"/>
    <n v="4"/>
    <n v="114.11"/>
  </r>
  <r>
    <s v="ORD0123"/>
    <x v="36"/>
    <x v="1"/>
    <x v="0"/>
    <x v="1"/>
    <n v="2886.6"/>
    <n v="4"/>
    <n v="596.11"/>
  </r>
  <r>
    <s v="ORD0124"/>
    <x v="117"/>
    <x v="5"/>
    <x v="1"/>
    <x v="3"/>
    <n v="1249.68"/>
    <n v="4"/>
    <n v="251.07"/>
  </r>
  <r>
    <s v="ORD0125"/>
    <x v="118"/>
    <x v="4"/>
    <x v="1"/>
    <x v="0"/>
    <n v="1194.8800000000001"/>
    <n v="9"/>
    <n v="118.73"/>
  </r>
  <r>
    <s v="ORD0126"/>
    <x v="119"/>
    <x v="1"/>
    <x v="0"/>
    <x v="3"/>
    <n v="2175.4"/>
    <n v="3"/>
    <n v="517.54"/>
  </r>
  <r>
    <s v="ORD0127"/>
    <x v="120"/>
    <x v="1"/>
    <x v="0"/>
    <x v="0"/>
    <n v="2463.87"/>
    <n v="5"/>
    <n v="386.13"/>
  </r>
  <r>
    <s v="ORD0128"/>
    <x v="97"/>
    <x v="2"/>
    <x v="1"/>
    <x v="0"/>
    <n v="981.9"/>
    <n v="8"/>
    <n v="108.99"/>
  </r>
  <r>
    <s v="ORD0129"/>
    <x v="121"/>
    <x v="3"/>
    <x v="0"/>
    <x v="0"/>
    <n v="197.07"/>
    <n v="1"/>
    <n v="138.35"/>
  </r>
  <r>
    <s v="ORD0130"/>
    <x v="122"/>
    <x v="4"/>
    <x v="1"/>
    <x v="0"/>
    <n v="1153.25"/>
    <n v="2"/>
    <n v="455.3"/>
  </r>
  <r>
    <s v="ORD0131"/>
    <x v="123"/>
    <x v="5"/>
    <x v="1"/>
    <x v="1"/>
    <n v="3320.17"/>
    <n v="7"/>
    <n v="371.4"/>
  </r>
  <r>
    <s v="ORD0132"/>
    <x v="124"/>
    <x v="5"/>
    <x v="1"/>
    <x v="2"/>
    <n v="6778.39"/>
    <n v="10"/>
    <n v="504.4"/>
  </r>
  <r>
    <s v="ORD0133"/>
    <x v="125"/>
    <x v="0"/>
    <x v="0"/>
    <x v="0"/>
    <n v="1025.6600000000001"/>
    <n v="4"/>
    <n v="226.42"/>
  </r>
  <r>
    <s v="ORD0134"/>
    <x v="7"/>
    <x v="2"/>
    <x v="1"/>
    <x v="1"/>
    <n v="359.06"/>
    <n v="2"/>
    <n v="142.1"/>
  </r>
  <r>
    <s v="ORD0135"/>
    <x v="126"/>
    <x v="0"/>
    <x v="0"/>
    <x v="2"/>
    <n v="277.32"/>
    <n v="1"/>
    <n v="200.55"/>
  </r>
  <r>
    <s v="ORD0136"/>
    <x v="127"/>
    <x v="0"/>
    <x v="0"/>
    <x v="2"/>
    <n v="4192.47"/>
    <n v="4"/>
    <n v="740.65"/>
  </r>
  <r>
    <s v="ORD0137"/>
    <x v="115"/>
    <x v="0"/>
    <x v="0"/>
    <x v="1"/>
    <n v="1208.9100000000001"/>
    <n v="2"/>
    <n v="444.76"/>
  </r>
  <r>
    <s v="ORD0138"/>
    <x v="128"/>
    <x v="4"/>
    <x v="1"/>
    <x v="1"/>
    <n v="182.75"/>
    <n v="1"/>
    <n v="149.41999999999999"/>
  </r>
  <r>
    <s v="ORD0139"/>
    <x v="129"/>
    <x v="0"/>
    <x v="0"/>
    <x v="3"/>
    <n v="942.08"/>
    <n v="2"/>
    <n v="385.58"/>
  </r>
  <r>
    <s v="ORD0140"/>
    <x v="130"/>
    <x v="3"/>
    <x v="0"/>
    <x v="3"/>
    <n v="4128.41"/>
    <n v="9"/>
    <n v="405.16"/>
  </r>
  <r>
    <s v="ORD0141"/>
    <x v="108"/>
    <x v="1"/>
    <x v="0"/>
    <x v="2"/>
    <n v="2446.84"/>
    <n v="10"/>
    <n v="215.29"/>
  </r>
  <r>
    <s v="ORD0142"/>
    <x v="131"/>
    <x v="0"/>
    <x v="0"/>
    <x v="0"/>
    <n v="3298.6"/>
    <n v="5"/>
    <n v="469.47"/>
  </r>
  <r>
    <s v="ORD0143"/>
    <x v="132"/>
    <x v="2"/>
    <x v="1"/>
    <x v="2"/>
    <n v="6890.55"/>
    <n v="8"/>
    <n v="734.54"/>
  </r>
  <r>
    <s v="ORD0144"/>
    <x v="133"/>
    <x v="5"/>
    <x v="1"/>
    <x v="2"/>
    <n v="7994.49"/>
    <n v="8"/>
    <n v="775.86"/>
  </r>
  <r>
    <s v="ORD0145"/>
    <x v="134"/>
    <x v="3"/>
    <x v="0"/>
    <x v="3"/>
    <n v="1697.66"/>
    <n v="2"/>
    <n v="689.03"/>
  </r>
  <r>
    <s v="ORD0146"/>
    <x v="135"/>
    <x v="0"/>
    <x v="0"/>
    <x v="2"/>
    <n v="6048.5"/>
    <n v="7"/>
    <n v="654.58000000000004"/>
  </r>
  <r>
    <s v="ORD0147"/>
    <x v="136"/>
    <x v="3"/>
    <x v="0"/>
    <x v="0"/>
    <n v="2024.9"/>
    <n v="5"/>
    <n v="272.14999999999998"/>
  </r>
  <r>
    <s v="ORD0148"/>
    <x v="137"/>
    <x v="3"/>
    <x v="0"/>
    <x v="0"/>
    <n v="3839.58"/>
    <n v="9"/>
    <n v="380.34"/>
  </r>
  <r>
    <s v="ORD0149"/>
    <x v="138"/>
    <x v="5"/>
    <x v="1"/>
    <x v="3"/>
    <n v="5703.82"/>
    <n v="8"/>
    <n v="507.82"/>
  </r>
  <r>
    <s v="ORD0150"/>
    <x v="139"/>
    <x v="2"/>
    <x v="1"/>
    <x v="3"/>
    <n v="2844.74"/>
    <n v="3"/>
    <n v="743.58"/>
  </r>
  <r>
    <s v="ORD0151"/>
    <x v="140"/>
    <x v="0"/>
    <x v="0"/>
    <x v="2"/>
    <n v="1046.69"/>
    <n v="1"/>
    <n v="779.05"/>
  </r>
  <r>
    <s v="ORD0152"/>
    <x v="141"/>
    <x v="2"/>
    <x v="1"/>
    <x v="1"/>
    <n v="348.68"/>
    <n v="9"/>
    <n v="30.67"/>
  </r>
  <r>
    <s v="ORD0153"/>
    <x v="142"/>
    <x v="2"/>
    <x v="1"/>
    <x v="0"/>
    <n v="1220.1600000000001"/>
    <n v="2"/>
    <n v="525.21"/>
  </r>
  <r>
    <s v="ORD0154"/>
    <x v="143"/>
    <x v="0"/>
    <x v="0"/>
    <x v="3"/>
    <n v="2224.48"/>
    <n v="5"/>
    <n v="344.08"/>
  </r>
  <r>
    <s v="ORD0155"/>
    <x v="144"/>
    <x v="3"/>
    <x v="0"/>
    <x v="1"/>
    <n v="1406.06"/>
    <n v="9"/>
    <n v="132.82"/>
  </r>
  <r>
    <s v="ORD0156"/>
    <x v="145"/>
    <x v="5"/>
    <x v="1"/>
    <x v="1"/>
    <n v="4488.8599999999997"/>
    <n v="5"/>
    <n v="622.69000000000005"/>
  </r>
  <r>
    <s v="ORD0157"/>
    <x v="146"/>
    <x v="4"/>
    <x v="1"/>
    <x v="3"/>
    <n v="4206.82"/>
    <n v="5"/>
    <n v="586.32000000000005"/>
  </r>
  <r>
    <s v="ORD0158"/>
    <x v="147"/>
    <x v="5"/>
    <x v="1"/>
    <x v="2"/>
    <n v="4358.83"/>
    <n v="8"/>
    <n v="440.09"/>
  </r>
  <r>
    <s v="ORD0159"/>
    <x v="148"/>
    <x v="5"/>
    <x v="1"/>
    <x v="2"/>
    <n v="6252.39"/>
    <n v="6"/>
    <n v="698.29"/>
  </r>
  <r>
    <s v="ORD0160"/>
    <x v="149"/>
    <x v="2"/>
    <x v="1"/>
    <x v="2"/>
    <n v="528.79"/>
    <n v="7"/>
    <n v="54.04"/>
  </r>
  <r>
    <s v="ORD0161"/>
    <x v="150"/>
    <x v="0"/>
    <x v="0"/>
    <x v="2"/>
    <n v="1359.04"/>
    <n v="3"/>
    <n v="406.36"/>
  </r>
  <r>
    <s v="ORD0162"/>
    <x v="117"/>
    <x v="5"/>
    <x v="1"/>
    <x v="3"/>
    <n v="1145.3399999999999"/>
    <n v="8"/>
    <n v="97.78"/>
  </r>
  <r>
    <s v="ORD0163"/>
    <x v="151"/>
    <x v="1"/>
    <x v="0"/>
    <x v="1"/>
    <n v="332.12"/>
    <n v="3"/>
    <n v="78.37"/>
  </r>
  <r>
    <s v="ORD0164"/>
    <x v="152"/>
    <x v="4"/>
    <x v="1"/>
    <x v="3"/>
    <n v="5313.45"/>
    <n v="7"/>
    <n v="526.87"/>
  </r>
  <r>
    <s v="ORD0165"/>
    <x v="153"/>
    <x v="0"/>
    <x v="0"/>
    <x v="2"/>
    <n v="6244.51"/>
    <n v="8"/>
    <n v="700.46"/>
  </r>
  <r>
    <s v="ORD0166"/>
    <x v="154"/>
    <x v="1"/>
    <x v="0"/>
    <x v="1"/>
    <n v="5580.77"/>
    <n v="5"/>
    <n v="797.99"/>
  </r>
  <r>
    <s v="ORD0167"/>
    <x v="155"/>
    <x v="3"/>
    <x v="0"/>
    <x v="0"/>
    <n v="1008.6"/>
    <n v="2"/>
    <n v="366.07"/>
  </r>
  <r>
    <s v="ORD0168"/>
    <x v="110"/>
    <x v="1"/>
    <x v="0"/>
    <x v="0"/>
    <n v="311.02"/>
    <n v="1"/>
    <n v="248.83"/>
  </r>
  <r>
    <s v="ORD0169"/>
    <x v="156"/>
    <x v="2"/>
    <x v="1"/>
    <x v="1"/>
    <n v="4576.8500000000004"/>
    <n v="7"/>
    <n v="461.42"/>
  </r>
  <r>
    <s v="ORD0170"/>
    <x v="157"/>
    <x v="2"/>
    <x v="1"/>
    <x v="1"/>
    <n v="9425.08"/>
    <n v="10"/>
    <n v="699.25"/>
  </r>
  <r>
    <s v="ORD0171"/>
    <x v="16"/>
    <x v="2"/>
    <x v="1"/>
    <x v="2"/>
    <n v="817.61"/>
    <n v="3"/>
    <n v="201.11"/>
  </r>
  <r>
    <s v="ORD0172"/>
    <x v="158"/>
    <x v="3"/>
    <x v="0"/>
    <x v="3"/>
    <n v="927.47"/>
    <n v="1"/>
    <n v="721.15"/>
  </r>
  <r>
    <s v="ORD0173"/>
    <x v="159"/>
    <x v="4"/>
    <x v="1"/>
    <x v="1"/>
    <n v="9057.44"/>
    <n v="8"/>
    <n v="757.28"/>
  </r>
  <r>
    <s v="ORD0174"/>
    <x v="160"/>
    <x v="4"/>
    <x v="1"/>
    <x v="2"/>
    <n v="2297.21"/>
    <n v="5"/>
    <n v="376.33"/>
  </r>
  <r>
    <s v="ORD0175"/>
    <x v="161"/>
    <x v="3"/>
    <x v="0"/>
    <x v="2"/>
    <n v="1579.15"/>
    <n v="4"/>
    <n v="317.45999999999998"/>
  </r>
  <r>
    <s v="ORD0176"/>
    <x v="162"/>
    <x v="4"/>
    <x v="1"/>
    <x v="3"/>
    <n v="2173.4299999999998"/>
    <n v="7"/>
    <n v="234.09"/>
  </r>
  <r>
    <s v="ORD0177"/>
    <x v="68"/>
    <x v="0"/>
    <x v="0"/>
    <x v="0"/>
    <n v="7827.33"/>
    <n v="8"/>
    <n v="669.61"/>
  </r>
  <r>
    <s v="ORD0178"/>
    <x v="81"/>
    <x v="2"/>
    <x v="1"/>
    <x v="3"/>
    <n v="2765.79"/>
    <n v="4"/>
    <n v="504.3"/>
  </r>
  <r>
    <s v="ORD0179"/>
    <x v="163"/>
    <x v="0"/>
    <x v="0"/>
    <x v="1"/>
    <n v="1968.93"/>
    <n v="2"/>
    <n v="724.65"/>
  </r>
  <r>
    <s v="ORD0180"/>
    <x v="164"/>
    <x v="4"/>
    <x v="1"/>
    <x v="2"/>
    <n v="3510.6"/>
    <n v="10"/>
    <n v="304.58999999999997"/>
  </r>
  <r>
    <s v="ORD0181"/>
    <x v="165"/>
    <x v="4"/>
    <x v="1"/>
    <x v="3"/>
    <n v="749.54"/>
    <n v="3"/>
    <n v="176.62"/>
  </r>
  <r>
    <s v="ORD0182"/>
    <x v="166"/>
    <x v="4"/>
    <x v="1"/>
    <x v="3"/>
    <n v="5415.38"/>
    <n v="5"/>
    <n v="732.96"/>
  </r>
  <r>
    <s v="ORD0183"/>
    <x v="167"/>
    <x v="4"/>
    <x v="1"/>
    <x v="3"/>
    <n v="7132.63"/>
    <n v="8"/>
    <n v="771.06"/>
  </r>
  <r>
    <s v="ORD0184"/>
    <x v="82"/>
    <x v="2"/>
    <x v="1"/>
    <x v="2"/>
    <n v="682.55"/>
    <n v="6"/>
    <n v="90.44"/>
  </r>
  <r>
    <s v="ORD0185"/>
    <x v="96"/>
    <x v="4"/>
    <x v="1"/>
    <x v="0"/>
    <n v="4474.8599999999997"/>
    <n v="6"/>
    <n v="544.80999999999995"/>
  </r>
  <r>
    <s v="ORD0186"/>
    <x v="168"/>
    <x v="5"/>
    <x v="1"/>
    <x v="2"/>
    <n v="748.41"/>
    <n v="6"/>
    <n v="104.51"/>
  </r>
  <r>
    <s v="ORD0187"/>
    <x v="169"/>
    <x v="1"/>
    <x v="0"/>
    <x v="3"/>
    <n v="2844.66"/>
    <n v="4"/>
    <n v="525.16999999999996"/>
  </r>
  <r>
    <s v="ORD0188"/>
    <x v="170"/>
    <x v="3"/>
    <x v="0"/>
    <x v="3"/>
    <n v="868.87"/>
    <n v="7"/>
    <n v="111.01"/>
  </r>
  <r>
    <s v="ORD0189"/>
    <x v="171"/>
    <x v="1"/>
    <x v="0"/>
    <x v="3"/>
    <n v="278.79000000000002"/>
    <n v="2"/>
    <n v="95.81"/>
  </r>
  <r>
    <s v="ORD0190"/>
    <x v="172"/>
    <x v="2"/>
    <x v="1"/>
    <x v="2"/>
    <n v="4552.09"/>
    <n v="6"/>
    <n v="542.98"/>
  </r>
  <r>
    <s v="ORD0191"/>
    <x v="173"/>
    <x v="5"/>
    <x v="1"/>
    <x v="2"/>
    <n v="2903.53"/>
    <n v="3"/>
    <n v="710.62"/>
  </r>
  <r>
    <s v="ORD0192"/>
    <x v="111"/>
    <x v="3"/>
    <x v="0"/>
    <x v="2"/>
    <n v="662.79"/>
    <n v="1"/>
    <n v="558.41999999999996"/>
  </r>
  <r>
    <s v="ORD0193"/>
    <x v="174"/>
    <x v="3"/>
    <x v="0"/>
    <x v="1"/>
    <n v="1957.99"/>
    <n v="2"/>
    <n v="785.12"/>
  </r>
  <r>
    <s v="ORD0194"/>
    <x v="35"/>
    <x v="0"/>
    <x v="0"/>
    <x v="3"/>
    <n v="2448.56"/>
    <n v="7"/>
    <n v="235.19"/>
  </r>
  <r>
    <s v="ORD0195"/>
    <x v="175"/>
    <x v="3"/>
    <x v="0"/>
    <x v="0"/>
    <n v="2787.66"/>
    <n v="4"/>
    <n v="520.53"/>
  </r>
  <r>
    <s v="ORD0196"/>
    <x v="176"/>
    <x v="1"/>
    <x v="0"/>
    <x v="0"/>
    <n v="4477.9799999999996"/>
    <n v="4"/>
    <n v="791.28"/>
  </r>
  <r>
    <s v="ORD0197"/>
    <x v="177"/>
    <x v="2"/>
    <x v="1"/>
    <x v="0"/>
    <n v="2721.49"/>
    <n v="4"/>
    <n v="477.38"/>
  </r>
  <r>
    <s v="ORD0198"/>
    <x v="178"/>
    <x v="2"/>
    <x v="1"/>
    <x v="3"/>
    <n v="320.57"/>
    <n v="10"/>
    <n v="22.21"/>
  </r>
  <r>
    <s v="ORD0199"/>
    <x v="179"/>
    <x v="2"/>
    <x v="1"/>
    <x v="1"/>
    <n v="3676.95"/>
    <n v="5"/>
    <n v="642.84"/>
  </r>
  <r>
    <s v="ORD0200"/>
    <x v="180"/>
    <x v="1"/>
    <x v="0"/>
    <x v="1"/>
    <n v="4562.1400000000003"/>
    <n v="6"/>
    <n v="636.19000000000005"/>
  </r>
  <r>
    <s v="ORD0201"/>
    <x v="181"/>
    <x v="4"/>
    <x v="1"/>
    <x v="0"/>
    <n v="425.08"/>
    <n v="5"/>
    <n v="60.87"/>
  </r>
  <r>
    <s v="ORD0202"/>
    <x v="182"/>
    <x v="5"/>
    <x v="1"/>
    <x v="0"/>
    <n v="3681.17"/>
    <n v="8"/>
    <n v="369.65"/>
  </r>
  <r>
    <s v="ORD0203"/>
    <x v="183"/>
    <x v="5"/>
    <x v="1"/>
    <x v="0"/>
    <n v="2335.77"/>
    <n v="9"/>
    <n v="192.81"/>
  </r>
  <r>
    <s v="ORD0204"/>
    <x v="48"/>
    <x v="0"/>
    <x v="0"/>
    <x v="3"/>
    <n v="87.11"/>
    <n v="1"/>
    <n v="67.44"/>
  </r>
  <r>
    <s v="ORD0205"/>
    <x v="184"/>
    <x v="3"/>
    <x v="0"/>
    <x v="2"/>
    <n v="1178.1600000000001"/>
    <n v="2"/>
    <n v="402.41"/>
  </r>
  <r>
    <s v="ORD0206"/>
    <x v="185"/>
    <x v="1"/>
    <x v="0"/>
    <x v="0"/>
    <n v="1561.2"/>
    <n v="10"/>
    <n v="135.69999999999999"/>
  </r>
  <r>
    <s v="ORD0207"/>
    <x v="186"/>
    <x v="5"/>
    <x v="1"/>
    <x v="3"/>
    <n v="5559.47"/>
    <n v="10"/>
    <n v="433.83"/>
  </r>
  <r>
    <s v="ORD0208"/>
    <x v="187"/>
    <x v="5"/>
    <x v="1"/>
    <x v="2"/>
    <n v="1864.19"/>
    <n v="2"/>
    <n v="685.18"/>
  </r>
  <r>
    <s v="ORD0209"/>
    <x v="188"/>
    <x v="5"/>
    <x v="1"/>
    <x v="1"/>
    <n v="7215.62"/>
    <n v="8"/>
    <n v="712.71"/>
  </r>
  <r>
    <s v="ORD0210"/>
    <x v="165"/>
    <x v="3"/>
    <x v="0"/>
    <x v="2"/>
    <n v="646.29"/>
    <n v="2"/>
    <n v="263.79000000000002"/>
  </r>
  <r>
    <s v="ORD0211"/>
    <x v="189"/>
    <x v="4"/>
    <x v="1"/>
    <x v="3"/>
    <n v="829.37"/>
    <n v="8"/>
    <n v="72.36"/>
  </r>
  <r>
    <s v="ORD0212"/>
    <x v="190"/>
    <x v="1"/>
    <x v="0"/>
    <x v="2"/>
    <n v="5183.17"/>
    <n v="6"/>
    <n v="653.17999999999995"/>
  </r>
  <r>
    <s v="ORD0213"/>
    <x v="191"/>
    <x v="5"/>
    <x v="1"/>
    <x v="3"/>
    <n v="986.87"/>
    <n v="2"/>
    <n v="340.43"/>
  </r>
  <r>
    <s v="ORD0214"/>
    <x v="192"/>
    <x v="3"/>
    <x v="0"/>
    <x v="0"/>
    <n v="3010.09"/>
    <n v="10"/>
    <n v="263.70999999999998"/>
  </r>
  <r>
    <s v="ORD0215"/>
    <x v="193"/>
    <x v="5"/>
    <x v="1"/>
    <x v="1"/>
    <n v="1782.71"/>
    <n v="8"/>
    <n v="194.91"/>
  </r>
  <r>
    <s v="ORD0216"/>
    <x v="167"/>
    <x v="5"/>
    <x v="1"/>
    <x v="3"/>
    <n v="3328.14"/>
    <n v="5"/>
    <n v="467.8"/>
  </r>
  <r>
    <s v="ORD0217"/>
    <x v="11"/>
    <x v="5"/>
    <x v="1"/>
    <x v="0"/>
    <n v="257.45999999999998"/>
    <n v="5"/>
    <n v="42.58"/>
  </r>
  <r>
    <s v="ORD0218"/>
    <x v="194"/>
    <x v="4"/>
    <x v="1"/>
    <x v="3"/>
    <n v="186.9"/>
    <n v="1"/>
    <n v="161.5"/>
  </r>
  <r>
    <s v="ORD0219"/>
    <x v="145"/>
    <x v="0"/>
    <x v="0"/>
    <x v="2"/>
    <n v="2670.59"/>
    <n v="3"/>
    <n v="597.96"/>
  </r>
  <r>
    <s v="ORD0220"/>
    <x v="195"/>
    <x v="1"/>
    <x v="0"/>
    <x v="1"/>
    <n v="3043.34"/>
    <n v="7"/>
    <n v="373.84"/>
  </r>
  <r>
    <s v="ORD0221"/>
    <x v="196"/>
    <x v="4"/>
    <x v="1"/>
    <x v="3"/>
    <n v="967.12"/>
    <n v="10"/>
    <n v="86.27"/>
  </r>
  <r>
    <s v="ORD0222"/>
    <x v="197"/>
    <x v="2"/>
    <x v="1"/>
    <x v="0"/>
    <n v="633.91"/>
    <n v="2"/>
    <n v="232.24"/>
  </r>
  <r>
    <s v="ORD0223"/>
    <x v="79"/>
    <x v="3"/>
    <x v="0"/>
    <x v="2"/>
    <n v="1227.56"/>
    <n v="5"/>
    <n v="188.14"/>
  </r>
  <r>
    <s v="ORD0224"/>
    <x v="198"/>
    <x v="4"/>
    <x v="1"/>
    <x v="2"/>
    <n v="3670.83"/>
    <n v="5"/>
    <n v="549.01"/>
  </r>
  <r>
    <s v="ORD0225"/>
    <x v="199"/>
    <x v="5"/>
    <x v="1"/>
    <x v="3"/>
    <n v="1759.39"/>
    <n v="4"/>
    <n v="328.31"/>
  </r>
  <r>
    <s v="ORD0226"/>
    <x v="200"/>
    <x v="1"/>
    <x v="0"/>
    <x v="1"/>
    <n v="3477.78"/>
    <n v="4"/>
    <n v="618.53"/>
  </r>
  <r>
    <s v="ORD0227"/>
    <x v="201"/>
    <x v="4"/>
    <x v="1"/>
    <x v="3"/>
    <n v="519.03"/>
    <n v="1"/>
    <n v="407.96"/>
  </r>
  <r>
    <s v="ORD0228"/>
    <x v="202"/>
    <x v="2"/>
    <x v="1"/>
    <x v="2"/>
    <n v="2351.83"/>
    <n v="4"/>
    <n v="410.2"/>
  </r>
  <r>
    <s v="ORD0229"/>
    <x v="102"/>
    <x v="4"/>
    <x v="1"/>
    <x v="0"/>
    <n v="462.53"/>
    <n v="1"/>
    <n v="360.25"/>
  </r>
  <r>
    <s v="ORD0230"/>
    <x v="203"/>
    <x v="1"/>
    <x v="0"/>
    <x v="3"/>
    <n v="4526.0600000000004"/>
    <n v="7"/>
    <n v="467.25"/>
  </r>
  <r>
    <s v="ORD0231"/>
    <x v="167"/>
    <x v="3"/>
    <x v="0"/>
    <x v="3"/>
    <n v="312.26"/>
    <n v="7"/>
    <n v="36.270000000000003"/>
  </r>
  <r>
    <s v="ORD0232"/>
    <x v="160"/>
    <x v="5"/>
    <x v="1"/>
    <x v="2"/>
    <n v="765.54"/>
    <n v="6"/>
    <n v="88.74"/>
  </r>
  <r>
    <s v="ORD0233"/>
    <x v="204"/>
    <x v="2"/>
    <x v="1"/>
    <x v="2"/>
    <n v="3775.96"/>
    <n v="7"/>
    <n v="428.69"/>
  </r>
  <r>
    <s v="ORD0234"/>
    <x v="205"/>
    <x v="4"/>
    <x v="1"/>
    <x v="3"/>
    <n v="4257.95"/>
    <n v="6"/>
    <n v="627.71"/>
  </r>
  <r>
    <s v="ORD0235"/>
    <x v="156"/>
    <x v="0"/>
    <x v="0"/>
    <x v="0"/>
    <n v="2173.79"/>
    <n v="9"/>
    <n v="171.24"/>
  </r>
  <r>
    <s v="ORD0236"/>
    <x v="206"/>
    <x v="4"/>
    <x v="1"/>
    <x v="1"/>
    <n v="316.49"/>
    <n v="2"/>
    <n v="134.22999999999999"/>
  </r>
  <r>
    <s v="ORD0237"/>
    <x v="207"/>
    <x v="5"/>
    <x v="1"/>
    <x v="1"/>
    <n v="445.77"/>
    <n v="2"/>
    <n v="158.16999999999999"/>
  </r>
  <r>
    <s v="ORD0238"/>
    <x v="100"/>
    <x v="3"/>
    <x v="0"/>
    <x v="2"/>
    <n v="5439.95"/>
    <n v="10"/>
    <n v="370.15"/>
  </r>
  <r>
    <s v="ORD0239"/>
    <x v="208"/>
    <x v="5"/>
    <x v="1"/>
    <x v="3"/>
    <n v="931.73"/>
    <n v="6"/>
    <n v="137.75"/>
  </r>
  <r>
    <s v="ORD0240"/>
    <x v="209"/>
    <x v="3"/>
    <x v="0"/>
    <x v="3"/>
    <n v="831.4"/>
    <n v="10"/>
    <n v="63.81"/>
  </r>
  <r>
    <s v="ORD0241"/>
    <x v="183"/>
    <x v="4"/>
    <x v="1"/>
    <x v="2"/>
    <n v="92.22"/>
    <n v="1"/>
    <n v="64.37"/>
  </r>
  <r>
    <s v="ORD0242"/>
    <x v="210"/>
    <x v="1"/>
    <x v="0"/>
    <x v="0"/>
    <n v="5339.66"/>
    <n v="10"/>
    <n v="415.51"/>
  </r>
  <r>
    <s v="ORD0243"/>
    <x v="211"/>
    <x v="5"/>
    <x v="1"/>
    <x v="0"/>
    <n v="6492.35"/>
    <n v="10"/>
    <n v="528.42999999999995"/>
  </r>
  <r>
    <s v="ORD0244"/>
    <x v="212"/>
    <x v="3"/>
    <x v="0"/>
    <x v="1"/>
    <n v="1176.24"/>
    <n v="8"/>
    <n v="100.73"/>
  </r>
  <r>
    <s v="ORD0245"/>
    <x v="213"/>
    <x v="4"/>
    <x v="1"/>
    <x v="0"/>
    <n v="209.66"/>
    <n v="3"/>
    <n v="50.53"/>
  </r>
  <r>
    <s v="ORD0246"/>
    <x v="70"/>
    <x v="3"/>
    <x v="0"/>
    <x v="1"/>
    <n v="5541.86"/>
    <n v="6"/>
    <n v="735.99"/>
  </r>
  <r>
    <s v="ORD0247"/>
    <x v="154"/>
    <x v="4"/>
    <x v="1"/>
    <x v="0"/>
    <n v="487.5"/>
    <n v="6"/>
    <n v="71.41"/>
  </r>
  <r>
    <s v="ORD0248"/>
    <x v="214"/>
    <x v="0"/>
    <x v="0"/>
    <x v="2"/>
    <n v="3982.34"/>
    <n v="5"/>
    <n v="584.51"/>
  </r>
  <r>
    <s v="ORD0249"/>
    <x v="176"/>
    <x v="5"/>
    <x v="1"/>
    <x v="1"/>
    <n v="1097.68"/>
    <n v="2"/>
    <n v="474.54"/>
  </r>
  <r>
    <s v="ORD0250"/>
    <x v="207"/>
    <x v="4"/>
    <x v="1"/>
    <x v="3"/>
    <n v="1167.79"/>
    <n v="7"/>
    <n v="120.58"/>
  </r>
  <r>
    <s v="ORD0251"/>
    <x v="215"/>
    <x v="1"/>
    <x v="0"/>
    <x v="3"/>
    <n v="4498.8100000000004"/>
    <n v="7"/>
    <n v="521.91999999999996"/>
  </r>
  <r>
    <s v="ORD0252"/>
    <x v="113"/>
    <x v="2"/>
    <x v="1"/>
    <x v="0"/>
    <n v="3229.24"/>
    <n v="7"/>
    <n v="416.62"/>
  </r>
  <r>
    <s v="ORD0253"/>
    <x v="216"/>
    <x v="4"/>
    <x v="1"/>
    <x v="1"/>
    <n v="5896.59"/>
    <n v="6"/>
    <n v="759.18"/>
  </r>
  <r>
    <s v="ORD0254"/>
    <x v="193"/>
    <x v="2"/>
    <x v="1"/>
    <x v="1"/>
    <n v="709.66"/>
    <n v="2"/>
    <n v="250.72"/>
  </r>
  <r>
    <s v="ORD0255"/>
    <x v="217"/>
    <x v="5"/>
    <x v="1"/>
    <x v="0"/>
    <n v="5687.31"/>
    <n v="6"/>
    <n v="703.59"/>
  </r>
  <r>
    <s v="ORD0256"/>
    <x v="218"/>
    <x v="5"/>
    <x v="1"/>
    <x v="2"/>
    <n v="665.41"/>
    <n v="3"/>
    <n v="161.06"/>
  </r>
  <r>
    <s v="ORD0257"/>
    <x v="219"/>
    <x v="5"/>
    <x v="1"/>
    <x v="1"/>
    <n v="466.63"/>
    <n v="1"/>
    <n v="340.47"/>
  </r>
  <r>
    <s v="ORD0258"/>
    <x v="220"/>
    <x v="2"/>
    <x v="1"/>
    <x v="2"/>
    <n v="4289.1099999999997"/>
    <n v="5"/>
    <n v="606.87"/>
  </r>
  <r>
    <s v="ORD0259"/>
    <x v="221"/>
    <x v="2"/>
    <x v="1"/>
    <x v="1"/>
    <n v="6831.06"/>
    <n v="8"/>
    <n v="725.1"/>
  </r>
  <r>
    <s v="ORD0260"/>
    <x v="142"/>
    <x v="0"/>
    <x v="0"/>
    <x v="2"/>
    <n v="4078.75"/>
    <n v="5"/>
    <n v="626.94000000000005"/>
  </r>
  <r>
    <s v="ORD0261"/>
    <x v="99"/>
    <x v="3"/>
    <x v="0"/>
    <x v="1"/>
    <n v="1535.4"/>
    <n v="10"/>
    <n v="127.95"/>
  </r>
  <r>
    <s v="ORD0262"/>
    <x v="222"/>
    <x v="0"/>
    <x v="0"/>
    <x v="2"/>
    <n v="9330.2099999999991"/>
    <n v="9"/>
    <n v="748.75"/>
  </r>
  <r>
    <s v="ORD0263"/>
    <x v="223"/>
    <x v="5"/>
    <x v="1"/>
    <x v="0"/>
    <n v="1487.77"/>
    <n v="2"/>
    <n v="615.23"/>
  </r>
  <r>
    <s v="ORD0264"/>
    <x v="224"/>
    <x v="5"/>
    <x v="1"/>
    <x v="1"/>
    <n v="1802.72"/>
    <n v="2"/>
    <n v="758.2"/>
  </r>
  <r>
    <s v="ORD0265"/>
    <x v="225"/>
    <x v="3"/>
    <x v="0"/>
    <x v="3"/>
    <n v="560.36"/>
    <n v="7"/>
    <n v="61.54"/>
  </r>
  <r>
    <s v="ORD0266"/>
    <x v="226"/>
    <x v="2"/>
    <x v="1"/>
    <x v="2"/>
    <n v="1437.18"/>
    <n v="6"/>
    <n v="195.14"/>
  </r>
  <r>
    <s v="ORD0267"/>
    <x v="227"/>
    <x v="1"/>
    <x v="0"/>
    <x v="3"/>
    <n v="219.52"/>
    <n v="3"/>
    <n v="49.88"/>
  </r>
  <r>
    <s v="ORD0268"/>
    <x v="228"/>
    <x v="3"/>
    <x v="0"/>
    <x v="1"/>
    <n v="3261.42"/>
    <n v="8"/>
    <n v="369.91"/>
  </r>
  <r>
    <s v="ORD0269"/>
    <x v="229"/>
    <x v="1"/>
    <x v="0"/>
    <x v="0"/>
    <n v="3543.02"/>
    <n v="4"/>
    <n v="671.27"/>
  </r>
  <r>
    <s v="ORD0270"/>
    <x v="198"/>
    <x v="0"/>
    <x v="0"/>
    <x v="2"/>
    <n v="1179.53"/>
    <n v="5"/>
    <n v="205.36"/>
  </r>
  <r>
    <s v="ORD0271"/>
    <x v="22"/>
    <x v="2"/>
    <x v="1"/>
    <x v="2"/>
    <n v="4309.0200000000004"/>
    <n v="10"/>
    <n v="376.55"/>
  </r>
  <r>
    <s v="ORD0272"/>
    <x v="230"/>
    <x v="3"/>
    <x v="0"/>
    <x v="0"/>
    <n v="5850.55"/>
    <n v="9"/>
    <n v="468.54"/>
  </r>
  <r>
    <s v="ORD0273"/>
    <x v="231"/>
    <x v="4"/>
    <x v="1"/>
    <x v="2"/>
    <n v="3921.04"/>
    <n v="10"/>
    <n v="295.2"/>
  </r>
  <r>
    <s v="ORD0274"/>
    <x v="232"/>
    <x v="2"/>
    <x v="1"/>
    <x v="0"/>
    <n v="572.30999999999995"/>
    <n v="6"/>
    <n v="72.790000000000006"/>
  </r>
  <r>
    <s v="ORD0275"/>
    <x v="233"/>
    <x v="5"/>
    <x v="1"/>
    <x v="0"/>
    <n v="541.65"/>
    <n v="8"/>
    <n v="53.96"/>
  </r>
  <r>
    <s v="ORD0276"/>
    <x v="234"/>
    <x v="4"/>
    <x v="1"/>
    <x v="3"/>
    <n v="4716.8500000000004"/>
    <n v="6"/>
    <n v="635.04999999999995"/>
  </r>
  <r>
    <s v="ORD0277"/>
    <x v="235"/>
    <x v="0"/>
    <x v="0"/>
    <x v="0"/>
    <n v="923.69"/>
    <n v="6"/>
    <n v="124.06"/>
  </r>
  <r>
    <s v="ORD0278"/>
    <x v="236"/>
    <x v="4"/>
    <x v="1"/>
    <x v="1"/>
    <n v="8110.48"/>
    <n v="8"/>
    <n v="785.04"/>
  </r>
  <r>
    <s v="ORD0279"/>
    <x v="237"/>
    <x v="2"/>
    <x v="1"/>
    <x v="1"/>
    <n v="461.39"/>
    <n v="8"/>
    <n v="48.85"/>
  </r>
  <r>
    <s v="ORD0280"/>
    <x v="238"/>
    <x v="2"/>
    <x v="1"/>
    <x v="0"/>
    <n v="3155.82"/>
    <n v="5"/>
    <n v="422"/>
  </r>
  <r>
    <s v="ORD0281"/>
    <x v="239"/>
    <x v="5"/>
    <x v="1"/>
    <x v="2"/>
    <n v="714.77"/>
    <n v="1"/>
    <n v="607.57000000000005"/>
  </r>
  <r>
    <s v="ORD0282"/>
    <x v="207"/>
    <x v="4"/>
    <x v="1"/>
    <x v="0"/>
    <n v="1985.73"/>
    <n v="6"/>
    <n v="233.11"/>
  </r>
  <r>
    <s v="ORD0283"/>
    <x v="240"/>
    <x v="3"/>
    <x v="0"/>
    <x v="2"/>
    <n v="2339.06"/>
    <n v="7"/>
    <n v="284.45"/>
  </r>
  <r>
    <s v="ORD0284"/>
    <x v="241"/>
    <x v="0"/>
    <x v="0"/>
    <x v="2"/>
    <n v="2325.42"/>
    <n v="9"/>
    <n v="228.04"/>
  </r>
  <r>
    <s v="ORD0285"/>
    <x v="188"/>
    <x v="3"/>
    <x v="0"/>
    <x v="0"/>
    <n v="9332.68"/>
    <n v="10"/>
    <n v="796.18"/>
  </r>
  <r>
    <s v="ORD0286"/>
    <x v="242"/>
    <x v="4"/>
    <x v="1"/>
    <x v="3"/>
    <n v="671.94"/>
    <n v="2"/>
    <n v="275.77999999999997"/>
  </r>
  <r>
    <s v="ORD0287"/>
    <x v="243"/>
    <x v="3"/>
    <x v="0"/>
    <x v="2"/>
    <n v="2628.92"/>
    <n v="8"/>
    <n v="294.20999999999998"/>
  </r>
  <r>
    <s v="ORD0288"/>
    <x v="209"/>
    <x v="4"/>
    <x v="1"/>
    <x v="2"/>
    <n v="106.41"/>
    <n v="1"/>
    <n v="78.53"/>
  </r>
  <r>
    <s v="ORD0289"/>
    <x v="244"/>
    <x v="4"/>
    <x v="1"/>
    <x v="1"/>
    <n v="2805.38"/>
    <n v="3"/>
    <n v="681.96"/>
  </r>
  <r>
    <s v="ORD0290"/>
    <x v="245"/>
    <x v="3"/>
    <x v="0"/>
    <x v="0"/>
    <n v="554.30999999999995"/>
    <n v="2"/>
    <n v="204.08"/>
  </r>
  <r>
    <s v="ORD0291"/>
    <x v="246"/>
    <x v="4"/>
    <x v="1"/>
    <x v="2"/>
    <n v="674.8"/>
    <n v="1"/>
    <n v="491.97"/>
  </r>
  <r>
    <s v="ORD0292"/>
    <x v="247"/>
    <x v="4"/>
    <x v="1"/>
    <x v="3"/>
    <n v="1226.94"/>
    <n v="2"/>
    <n v="467.66"/>
  </r>
  <r>
    <s v="ORD0293"/>
    <x v="248"/>
    <x v="3"/>
    <x v="0"/>
    <x v="3"/>
    <n v="1229.56"/>
    <n v="5"/>
    <n v="214.7"/>
  </r>
  <r>
    <s v="ORD0294"/>
    <x v="249"/>
    <x v="0"/>
    <x v="0"/>
    <x v="1"/>
    <n v="3837.1"/>
    <n v="9"/>
    <n v="321.85000000000002"/>
  </r>
  <r>
    <s v="ORD0295"/>
    <x v="250"/>
    <x v="4"/>
    <x v="1"/>
    <x v="3"/>
    <n v="2015.62"/>
    <n v="8"/>
    <n v="187.36"/>
  </r>
  <r>
    <s v="ORD0296"/>
    <x v="99"/>
    <x v="0"/>
    <x v="0"/>
    <x v="2"/>
    <n v="284.37"/>
    <n v="2"/>
    <n v="125.87"/>
  </r>
  <r>
    <s v="ORD0297"/>
    <x v="251"/>
    <x v="2"/>
    <x v="1"/>
    <x v="2"/>
    <n v="4491.2"/>
    <n v="6"/>
    <n v="540.91999999999996"/>
  </r>
  <r>
    <s v="ORD0298"/>
    <x v="252"/>
    <x v="5"/>
    <x v="1"/>
    <x v="3"/>
    <n v="2538.2800000000002"/>
    <n v="3"/>
    <n v="575.21"/>
  </r>
  <r>
    <s v="ORD0299"/>
    <x v="253"/>
    <x v="0"/>
    <x v="0"/>
    <x v="1"/>
    <n v="2620.85"/>
    <n v="9"/>
    <n v="194.91"/>
  </r>
  <r>
    <s v="ORD0300"/>
    <x v="254"/>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3209B-79DF-40AD-8409-49C1BF89084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27:L33"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showAll="0">
      <items count="7">
        <item x="5"/>
        <item x="4"/>
        <item x="1"/>
        <item x="3"/>
        <item x="2"/>
        <item x="0"/>
        <item t="default"/>
      </items>
    </pivotField>
    <pivotField showAll="0">
      <items count="3">
        <item x="1"/>
        <item x="0"/>
        <item t="default"/>
      </items>
    </pivotField>
    <pivotField showAll="0"/>
    <pivotField showAll="0"/>
    <pivotField showAll="0"/>
    <pivotField dataField="1" showAll="0"/>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8"/>
  </rowFields>
  <rowItems count="5">
    <i>
      <x v="1"/>
    </i>
    <i>
      <x v="2"/>
    </i>
    <i>
      <x v="3"/>
    </i>
    <i>
      <x v="4"/>
    </i>
    <i t="grand">
      <x/>
    </i>
  </rowItems>
  <colFields count="1">
    <field x="9"/>
  </colFields>
  <colItems count="3">
    <i>
      <x v="1"/>
    </i>
    <i>
      <x v="2"/>
    </i>
    <i t="grand">
      <x/>
    </i>
  </colItems>
  <dataFields count="1">
    <dataField name="Sum of Cost" fld="7" baseField="0" baseItem="0"/>
  </dataFields>
  <formats count="1">
    <format dxfId="0">
      <pivotArea outline="0" collapsedLevelsAreSubtotals="1" fieldPosition="0"/>
    </format>
  </formats>
  <chartFormats count="4">
    <chartFormat chart="2" format="2" series="1">
      <pivotArea type="data" outline="0" fieldPosition="0">
        <references count="2">
          <reference field="4294967294" count="1" selected="0">
            <x v="0"/>
          </reference>
          <reference field="9" count="1" selected="0">
            <x v="1"/>
          </reference>
        </references>
      </pivotArea>
    </chartFormat>
    <chartFormat chart="2" format="3" series="1">
      <pivotArea type="data" outline="0" fieldPosition="0">
        <references count="2">
          <reference field="4294967294" count="1" selected="0">
            <x v="0"/>
          </reference>
          <reference field="9" count="1" selected="0">
            <x v="2"/>
          </reference>
        </references>
      </pivotArea>
    </chartFormat>
    <chartFormat chart="3" format="4" series="1">
      <pivotArea type="data" outline="0" fieldPosition="0">
        <references count="2">
          <reference field="4294967294" count="1" selected="0">
            <x v="0"/>
          </reference>
          <reference field="9" count="1" selected="0">
            <x v="1"/>
          </reference>
        </references>
      </pivotArea>
    </chartFormat>
    <chartFormat chart="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075E1-7716-4E4D-BD94-292CB3D919D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17:D31" firstHeaderRow="1" firstDataRow="2" firstDataCol="1"/>
  <pivotFields count="11">
    <pivotField showAll="0"/>
    <pivotField axis="axisRow" numFmtId="165"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dataField="1" showAll="0"/>
    <pivotField showAll="0"/>
    <pivotField showAll="0"/>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9"/>
  </colFields>
  <colItems count="3">
    <i>
      <x v="1"/>
    </i>
    <i>
      <x v="2"/>
    </i>
    <i t="grand">
      <x/>
    </i>
  </colItems>
  <dataFields count="1">
    <dataField name="Sum of Sales" fld="5" baseField="0" baseItem="0" numFmtId="164"/>
  </dataFields>
  <formats count="2">
    <format dxfId="2">
      <pivotArea outline="0" collapsedLevelsAreSubtotals="1" fieldPosition="0"/>
    </format>
    <format dxfId="1">
      <pivotArea collapsedLevelsAreSubtotals="1" fieldPosition="0">
        <references count="2">
          <reference field="1" count="12">
            <x v="1"/>
            <x v="2"/>
            <x v="3"/>
            <x v="4"/>
            <x v="5"/>
            <x v="6"/>
            <x v="7"/>
            <x v="8"/>
            <x v="9"/>
            <x v="10"/>
            <x v="11"/>
            <x v="12"/>
          </reference>
          <reference field="9" count="2" selected="0">
            <x v="1"/>
            <x v="2"/>
          </reference>
        </references>
      </pivotArea>
    </format>
  </formats>
  <chartFormats count="4">
    <chartFormat chart="40" format="42" series="1">
      <pivotArea type="data" outline="0" fieldPosition="0">
        <references count="2">
          <reference field="4294967294" count="1" selected="0">
            <x v="0"/>
          </reference>
          <reference field="9" count="1" selected="0">
            <x v="1"/>
          </reference>
        </references>
      </pivotArea>
    </chartFormat>
    <chartFormat chart="40" format="43" series="1">
      <pivotArea type="data" outline="0" fieldPosition="0">
        <references count="2">
          <reference field="4294967294" count="1" selected="0">
            <x v="0"/>
          </reference>
          <reference field="9" count="1" selected="0">
            <x v="2"/>
          </reference>
        </references>
      </pivotArea>
    </chartFormat>
    <chartFormat chart="49" format="60" series="1">
      <pivotArea type="data" outline="0" fieldPosition="0">
        <references count="2">
          <reference field="4294967294" count="1" selected="0">
            <x v="0"/>
          </reference>
          <reference field="9" count="1" selected="0">
            <x v="1"/>
          </reference>
        </references>
      </pivotArea>
    </chartFormat>
    <chartFormat chart="49" format="6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3C4CF-5E3A-4AFB-B0D1-2BCBB397D79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15:L21"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showAll="0">
      <items count="7">
        <item x="5"/>
        <item x="4"/>
        <item x="1"/>
        <item x="3"/>
        <item x="2"/>
        <item x="0"/>
        <item t="default"/>
      </items>
    </pivotField>
    <pivotField showAll="0">
      <items count="3">
        <item x="1"/>
        <item x="0"/>
        <item t="default"/>
      </items>
    </pivotField>
    <pivotField showAll="0"/>
    <pivotField showAll="0"/>
    <pivotField dataField="1" showAll="0"/>
    <pivotField showAll="0"/>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8"/>
  </rowFields>
  <rowItems count="5">
    <i>
      <x v="1"/>
    </i>
    <i>
      <x v="2"/>
    </i>
    <i>
      <x v="3"/>
    </i>
    <i>
      <x v="4"/>
    </i>
    <i t="grand">
      <x/>
    </i>
  </rowItems>
  <colFields count="1">
    <field x="9"/>
  </colFields>
  <colItems count="3">
    <i>
      <x v="1"/>
    </i>
    <i>
      <x v="2"/>
    </i>
    <i t="grand">
      <x/>
    </i>
  </colItems>
  <dataFields count="1">
    <dataField name="Sum of Quantity" fld="6" baseField="0" baseItem="0"/>
  </dataFields>
  <formats count="1">
    <format dxfId="3">
      <pivotArea outline="0" collapsedLevelsAreSubtotals="1" fieldPosition="0"/>
    </format>
  </formats>
  <chartFormats count="2">
    <chartFormat chart="3" format="4" series="1">
      <pivotArea type="data" outline="0" fieldPosition="0">
        <references count="2">
          <reference field="4294967294" count="1" selected="0">
            <x v="0"/>
          </reference>
          <reference field="9" count="1" selected="0">
            <x v="1"/>
          </reference>
        </references>
      </pivotArea>
    </chartFormat>
    <chartFormat chart="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34F63-D2A4-47A3-A37C-5C31550D729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5:D43"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2"/>
  </rowFields>
  <rowItems count="7">
    <i>
      <x/>
    </i>
    <i>
      <x v="1"/>
    </i>
    <i>
      <x v="2"/>
    </i>
    <i>
      <x v="3"/>
    </i>
    <i>
      <x v="4"/>
    </i>
    <i>
      <x v="5"/>
    </i>
    <i t="grand">
      <x/>
    </i>
  </rowItems>
  <colFields count="1">
    <field x="9"/>
  </colFields>
  <colItems count="3">
    <i>
      <x v="1"/>
    </i>
    <i>
      <x v="2"/>
    </i>
    <i t="grand">
      <x/>
    </i>
  </colItems>
  <dataFields count="1">
    <dataField name="Sum of Sales" fld="5" baseField="0" baseItem="0" numFmtId="164"/>
  </dataFields>
  <formats count="2">
    <format dxfId="5">
      <pivotArea outline="0" collapsedLevelsAreSubtotals="1" fieldPosition="0"/>
    </format>
    <format dxfId="4">
      <pivotArea collapsedLevelsAreSubtotals="1" fieldPosition="0">
        <references count="2">
          <reference field="2" count="0"/>
          <reference field="9" count="2" selected="0">
            <x v="1"/>
            <x v="2"/>
          </reference>
        </references>
      </pivotArea>
    </format>
  </formats>
  <chartFormats count="2">
    <chartFormat chart="6" format="12" series="1">
      <pivotArea type="data" outline="0" fieldPosition="0">
        <references count="2">
          <reference field="4294967294" count="1" selected="0">
            <x v="0"/>
          </reference>
          <reference field="9" count="1" selected="0">
            <x v="1"/>
          </reference>
        </references>
      </pivotArea>
    </chartFormat>
    <chartFormat chart="6" format="1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C3E728-1022-4F1B-BCB8-9C407A5235F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3:L9"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8"/>
  </rowFields>
  <rowItems count="5">
    <i>
      <x v="1"/>
    </i>
    <i>
      <x v="2"/>
    </i>
    <i>
      <x v="3"/>
    </i>
    <i>
      <x v="4"/>
    </i>
    <i t="grand">
      <x/>
    </i>
  </rowItems>
  <colFields count="1">
    <field x="9"/>
  </colFields>
  <colItems count="3">
    <i>
      <x v="1"/>
    </i>
    <i>
      <x v="2"/>
    </i>
    <i t="grand">
      <x/>
    </i>
  </colItems>
  <dataFields count="1">
    <dataField name="Sum of Sales" fld="5" baseField="0" baseItem="0" numFmtId="164"/>
  </dataFields>
  <formats count="1">
    <format dxfId="6">
      <pivotArea outline="0" collapsedLevelsAreSubtotals="1" fieldPosition="0"/>
    </format>
  </formats>
  <chartFormats count="2">
    <chartFormat chart="3" format="4" series="1">
      <pivotArea type="data" outline="0" fieldPosition="0">
        <references count="2">
          <reference field="4294967294" count="1" selected="0">
            <x v="0"/>
          </reference>
          <reference field="9" count="1" selected="0">
            <x v="1"/>
          </reference>
        </references>
      </pivotArea>
    </chartFormat>
    <chartFormat chart="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6C9FE-F660-4903-9844-53A533F9A87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47:D53"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4"/>
  </rowFields>
  <rowItems count="5">
    <i>
      <x/>
    </i>
    <i>
      <x v="1"/>
    </i>
    <i>
      <x v="2"/>
    </i>
    <i>
      <x v="3"/>
    </i>
    <i t="grand">
      <x/>
    </i>
  </rowItems>
  <colFields count="1">
    <field x="9"/>
  </colFields>
  <colItems count="3">
    <i>
      <x v="1"/>
    </i>
    <i>
      <x v="2"/>
    </i>
    <i t="grand">
      <x/>
    </i>
  </colItems>
  <dataFields count="1">
    <dataField name="Sum of Sales" fld="5" baseField="0" baseItem="0" numFmtId="164"/>
  </dataFields>
  <formats count="2">
    <format dxfId="8">
      <pivotArea outline="0" collapsedLevelsAreSubtotals="1" fieldPosition="0"/>
    </format>
    <format dxfId="7">
      <pivotArea collapsedLevelsAreSubtotals="1" fieldPosition="0">
        <references count="2">
          <reference field="4" count="0"/>
          <reference field="9" count="2" selected="0">
            <x v="1"/>
            <x v="2"/>
          </reference>
        </references>
      </pivotArea>
    </format>
  </formats>
  <chartFormats count="2">
    <chartFormat chart="10" format="20" series="1">
      <pivotArea type="data" outline="0" fieldPosition="0">
        <references count="2">
          <reference field="4294967294" count="1" selected="0">
            <x v="0"/>
          </reference>
          <reference field="9" count="1" selected="0">
            <x v="1"/>
          </reference>
        </references>
      </pivotArea>
    </chartFormat>
    <chartFormat chart="10" format="2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1A52BE-6367-49D5-8F59-FA7433157D8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6" firstHeaderRow="0" firstDataRow="1" firstDataCol="1"/>
  <pivotFields count="11">
    <pivotField showAll="0"/>
    <pivotField numFmtId="165"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dataField="1" showAll="0"/>
    <pivotField dataField="1" showAll="0"/>
    <pivotField dataField="1" showAll="0"/>
    <pivotField showAll="0">
      <items count="7">
        <item sd="0" x="0"/>
        <item sd="0" x="1"/>
        <item sd="0" x="2"/>
        <item sd="0" x="3"/>
        <item sd="0" x="4"/>
        <item sd="0" x="5"/>
        <item t="default"/>
      </items>
    </pivotField>
    <pivotField axis="axisRow" showAll="0">
      <items count="5">
        <item sd="0" x="0"/>
        <item sd="0" x="1"/>
        <item sd="0" x="2"/>
        <item sd="0" x="3"/>
        <item t="default"/>
      </items>
    </pivotField>
    <pivotField dataField="1" dragToRow="0" dragToCol="0" dragToPage="0" showAll="0" defaultSubtotal="0"/>
  </pivotFields>
  <rowFields count="1">
    <field x="9"/>
  </rowFields>
  <rowItems count="3">
    <i>
      <x v="1"/>
    </i>
    <i>
      <x v="2"/>
    </i>
    <i t="grand">
      <x/>
    </i>
  </rowItems>
  <colFields count="1">
    <field x="-2"/>
  </colFields>
  <colItems count="4">
    <i>
      <x/>
    </i>
    <i i="1">
      <x v="1"/>
    </i>
    <i i="2">
      <x v="2"/>
    </i>
    <i i="3">
      <x v="3"/>
    </i>
  </colItems>
  <dataFields count="4">
    <dataField name="Sum of Sales" fld="5" baseField="0" baseItem="0"/>
    <dataField name="Sum of Quantity" fld="6" baseField="0" baseItem="0"/>
    <dataField name="Sum of Cost" fld="7"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CF9F9-18BB-48B9-A614-9771C61EB49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39:L45" firstHeaderRow="1" firstDataRow="2" firstDataCol="1"/>
  <pivotFields count="11">
    <pivotField showAll="0"/>
    <pivotField numFmtId="165" showAll="0">
      <items count="15">
        <item x="0"/>
        <item x="1"/>
        <item x="2"/>
        <item x="3"/>
        <item x="4"/>
        <item x="5"/>
        <item x="6"/>
        <item x="7"/>
        <item x="8"/>
        <item x="9"/>
        <item x="10"/>
        <item x="11"/>
        <item x="12"/>
        <item x="13"/>
        <item t="default"/>
      </items>
    </pivotField>
    <pivotField showAll="0">
      <items count="7">
        <item x="5"/>
        <item x="4"/>
        <item x="1"/>
        <item x="3"/>
        <item x="2"/>
        <item x="0"/>
        <item t="default"/>
      </items>
    </pivotField>
    <pivotField showAll="0">
      <items count="3">
        <item x="1"/>
        <item x="0"/>
        <item t="default"/>
      </items>
    </pivotField>
    <pivotField showAll="0"/>
    <pivotField showAll="0"/>
    <pivotField showAll="0"/>
    <pivotField showAll="0"/>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ataField="1" dragToRow="0" dragToCol="0" dragToPage="0" showAll="0" defaultSubtotal="0"/>
  </pivotFields>
  <rowFields count="1">
    <field x="8"/>
  </rowFields>
  <rowItems count="5">
    <i>
      <x v="1"/>
    </i>
    <i>
      <x v="2"/>
    </i>
    <i>
      <x v="3"/>
    </i>
    <i>
      <x v="4"/>
    </i>
    <i t="grand">
      <x/>
    </i>
  </rowItems>
  <colFields count="1">
    <field x="9"/>
  </colFields>
  <colItems count="3">
    <i>
      <x v="1"/>
    </i>
    <i>
      <x v="2"/>
    </i>
    <i t="grand">
      <x/>
    </i>
  </colItems>
  <dataFields count="1">
    <dataField name="Sum of Profit" fld="10" baseField="0" baseItem="0"/>
  </dataFields>
  <formats count="1">
    <format dxfId="9">
      <pivotArea outline="0" collapsedLevelsAreSubtotals="1" fieldPosition="0"/>
    </format>
  </formats>
  <chartFormats count="2">
    <chartFormat chart="3" format="4" series="1">
      <pivotArea type="data" outline="0" fieldPosition="0">
        <references count="2">
          <reference field="4294967294" count="1" selected="0">
            <x v="0"/>
          </reference>
          <reference field="9" count="1" selected="0">
            <x v="1"/>
          </reference>
        </references>
      </pivotArea>
    </chartFormat>
    <chartFormat chart="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183463-B1BF-45F1-BEEB-81134B9F712D}" sourceName="Category">
  <pivotTables>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1318087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E016D95-D16D-4959-9803-8A117A054A2C}" cache="Slicer_Category" caption="Category" columnCount="2" showCaption="0"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A6C19-89B4-4DB7-A9AF-D1163DE5A09D}" name="Table2" displayName="Table2" ref="A1:H301" totalsRowShown="0" headerRowDxfId="13" headerRowBorderDxfId="12" tableBorderDxfId="11">
  <autoFilter ref="A1:H301" xr:uid="{18EB40AB-632A-4542-9393-3277B8277771}"/>
  <tableColumns count="8">
    <tableColumn id="1" xr3:uid="{1CC7C32B-3FD3-4FF9-83C5-E137210435DC}" name="OrderID"/>
    <tableColumn id="2" xr3:uid="{62412AF8-1A78-4225-9D16-27C5FEDCC7F6}" name="Date" dataDxfId="10"/>
    <tableColumn id="3" xr3:uid="{F8CA14DF-C369-469F-A8F6-0E79D1C3C5F0}" name="Product"/>
    <tableColumn id="4" xr3:uid="{E7BFCC64-C232-4B83-9430-AEAFDB383F6F}" name="Category"/>
    <tableColumn id="5" xr3:uid="{48F05404-CBDE-4A8D-B3E5-2A43BA8ABBFB}" name="Region"/>
    <tableColumn id="6" xr3:uid="{ABC21DA4-15BF-4E66-95A6-6689435CC1DB}" name="Sales"/>
    <tableColumn id="7" xr3:uid="{A0F87DA2-5C4B-4CBF-B63E-C1E617211ACD}" name="Quantity"/>
    <tableColumn id="8" xr3:uid="{B67DD946-C452-4EAE-AABB-93E9DFC1C65B}"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125A-25A0-4DD2-8297-60E4902031CB}">
  <dimension ref="A1:H301"/>
  <sheetViews>
    <sheetView workbookViewId="0"/>
  </sheetViews>
  <sheetFormatPr defaultRowHeight="14.4" x14ac:dyDescent="0.3"/>
  <cols>
    <col min="1" max="1" width="9.44140625" customWidth="1"/>
    <col min="2" max="2" width="10.33203125" bestFit="1" customWidth="1"/>
    <col min="3" max="3" width="9.5546875" customWidth="1"/>
    <col min="4" max="4" width="10.44140625" customWidth="1"/>
    <col min="7" max="7" width="10.21875" customWidth="1"/>
  </cols>
  <sheetData>
    <row r="1" spans="1:8" x14ac:dyDescent="0.3">
      <c r="A1" s="8" t="s">
        <v>348</v>
      </c>
      <c r="B1" s="8" t="s">
        <v>347</v>
      </c>
      <c r="C1" s="8" t="s">
        <v>346</v>
      </c>
      <c r="D1" s="8" t="s">
        <v>345</v>
      </c>
      <c r="E1" s="8" t="s">
        <v>344</v>
      </c>
      <c r="F1" s="8" t="s">
        <v>29</v>
      </c>
      <c r="G1" s="8" t="s">
        <v>343</v>
      </c>
      <c r="H1" s="8" t="s">
        <v>27</v>
      </c>
    </row>
    <row r="2" spans="1:8" x14ac:dyDescent="0.3">
      <c r="A2" t="s">
        <v>342</v>
      </c>
      <c r="B2" s="7">
        <v>44952</v>
      </c>
      <c r="C2" t="s">
        <v>1</v>
      </c>
      <c r="D2" t="s">
        <v>40</v>
      </c>
      <c r="E2" t="s">
        <v>52</v>
      </c>
      <c r="F2">
        <v>1219.5</v>
      </c>
      <c r="G2">
        <v>5</v>
      </c>
      <c r="H2">
        <v>211.02</v>
      </c>
    </row>
    <row r="3" spans="1:8" x14ac:dyDescent="0.3">
      <c r="A3" t="s">
        <v>341</v>
      </c>
      <c r="B3" s="7">
        <v>45531</v>
      </c>
      <c r="C3" t="s">
        <v>4</v>
      </c>
      <c r="D3" t="s">
        <v>40</v>
      </c>
      <c r="E3" t="s">
        <v>52</v>
      </c>
      <c r="F3">
        <v>356.63</v>
      </c>
      <c r="G3">
        <v>7</v>
      </c>
      <c r="H3">
        <v>44.79</v>
      </c>
    </row>
    <row r="4" spans="1:8" x14ac:dyDescent="0.3">
      <c r="A4" t="s">
        <v>340</v>
      </c>
      <c r="B4" s="7">
        <v>45501</v>
      </c>
      <c r="C4" t="s">
        <v>2</v>
      </c>
      <c r="D4" t="s">
        <v>38</v>
      </c>
      <c r="E4" t="s">
        <v>52</v>
      </c>
      <c r="F4">
        <v>3194.55</v>
      </c>
      <c r="G4">
        <v>4</v>
      </c>
      <c r="H4">
        <v>578.5</v>
      </c>
    </row>
    <row r="5" spans="1:8" x14ac:dyDescent="0.3">
      <c r="A5" t="s">
        <v>339</v>
      </c>
      <c r="B5" s="7">
        <v>45386</v>
      </c>
      <c r="C5" t="s">
        <v>3</v>
      </c>
      <c r="D5" t="s">
        <v>40</v>
      </c>
      <c r="E5" t="s">
        <v>37</v>
      </c>
      <c r="F5">
        <v>3430.95</v>
      </c>
      <c r="G5">
        <v>10</v>
      </c>
      <c r="H5">
        <v>236.99</v>
      </c>
    </row>
    <row r="6" spans="1:8" x14ac:dyDescent="0.3">
      <c r="A6" t="s">
        <v>338</v>
      </c>
      <c r="B6" s="7">
        <v>45275</v>
      </c>
      <c r="C6" t="s">
        <v>2</v>
      </c>
      <c r="D6" t="s">
        <v>38</v>
      </c>
      <c r="E6" t="s">
        <v>44</v>
      </c>
      <c r="F6">
        <v>1047.44</v>
      </c>
      <c r="G6">
        <v>5</v>
      </c>
      <c r="H6">
        <v>141.27000000000001</v>
      </c>
    </row>
    <row r="7" spans="1:8" x14ac:dyDescent="0.3">
      <c r="A7" t="s">
        <v>337</v>
      </c>
      <c r="B7" s="7">
        <v>45021</v>
      </c>
      <c r="C7" t="s">
        <v>5</v>
      </c>
      <c r="D7" t="s">
        <v>38</v>
      </c>
      <c r="E7" t="s">
        <v>52</v>
      </c>
      <c r="F7">
        <v>961.37</v>
      </c>
      <c r="G7">
        <v>7</v>
      </c>
      <c r="H7">
        <v>95.44</v>
      </c>
    </row>
    <row r="8" spans="1:8" x14ac:dyDescent="0.3">
      <c r="A8" t="s">
        <v>336</v>
      </c>
      <c r="B8" s="7">
        <v>44971</v>
      </c>
      <c r="C8" t="s">
        <v>6</v>
      </c>
      <c r="D8" t="s">
        <v>38</v>
      </c>
      <c r="E8" t="s">
        <v>42</v>
      </c>
      <c r="F8">
        <v>5221.42</v>
      </c>
      <c r="G8">
        <v>8</v>
      </c>
      <c r="H8">
        <v>438.26</v>
      </c>
    </row>
    <row r="9" spans="1:8" x14ac:dyDescent="0.3">
      <c r="A9" t="s">
        <v>335</v>
      </c>
      <c r="B9" s="7">
        <v>45492</v>
      </c>
      <c r="C9" t="s">
        <v>3</v>
      </c>
      <c r="D9" t="s">
        <v>40</v>
      </c>
      <c r="E9" t="s">
        <v>52</v>
      </c>
      <c r="F9">
        <v>4493.2</v>
      </c>
      <c r="G9">
        <v>5</v>
      </c>
      <c r="H9">
        <v>666.94</v>
      </c>
    </row>
    <row r="10" spans="1:8" x14ac:dyDescent="0.3">
      <c r="A10" t="s">
        <v>334</v>
      </c>
      <c r="B10" s="7">
        <v>45648</v>
      </c>
      <c r="C10" t="s">
        <v>5</v>
      </c>
      <c r="D10" t="s">
        <v>38</v>
      </c>
      <c r="E10" t="s">
        <v>37</v>
      </c>
      <c r="F10">
        <v>132.79</v>
      </c>
      <c r="G10">
        <v>2</v>
      </c>
      <c r="H10">
        <v>55.74</v>
      </c>
    </row>
    <row r="11" spans="1:8" x14ac:dyDescent="0.3">
      <c r="A11" t="s">
        <v>333</v>
      </c>
      <c r="B11" s="7">
        <v>45165</v>
      </c>
      <c r="C11" t="s">
        <v>5</v>
      </c>
      <c r="D11" t="s">
        <v>38</v>
      </c>
      <c r="E11" t="s">
        <v>52</v>
      </c>
      <c r="F11">
        <v>811.1</v>
      </c>
      <c r="G11">
        <v>2</v>
      </c>
      <c r="H11">
        <v>316.5</v>
      </c>
    </row>
    <row r="12" spans="1:8" x14ac:dyDescent="0.3">
      <c r="A12" t="s">
        <v>332</v>
      </c>
      <c r="B12" s="7">
        <v>45306</v>
      </c>
      <c r="C12" t="s">
        <v>5</v>
      </c>
      <c r="D12" t="s">
        <v>38</v>
      </c>
      <c r="E12" t="s">
        <v>37</v>
      </c>
      <c r="F12">
        <v>1328.1</v>
      </c>
      <c r="G12">
        <v>6</v>
      </c>
      <c r="H12">
        <v>183.42</v>
      </c>
    </row>
    <row r="13" spans="1:8" x14ac:dyDescent="0.3">
      <c r="A13" t="s">
        <v>331</v>
      </c>
      <c r="B13" s="7">
        <v>45550</v>
      </c>
      <c r="C13" t="s">
        <v>1</v>
      </c>
      <c r="D13" t="s">
        <v>40</v>
      </c>
      <c r="E13" t="s">
        <v>52</v>
      </c>
      <c r="F13">
        <v>1569.15</v>
      </c>
      <c r="G13">
        <v>3</v>
      </c>
      <c r="H13">
        <v>436.63</v>
      </c>
    </row>
    <row r="14" spans="1:8" x14ac:dyDescent="0.3">
      <c r="A14" t="s">
        <v>330</v>
      </c>
      <c r="B14" s="7">
        <v>45203</v>
      </c>
      <c r="C14" t="s">
        <v>3</v>
      </c>
      <c r="D14" t="s">
        <v>40</v>
      </c>
      <c r="E14" t="s">
        <v>44</v>
      </c>
      <c r="F14">
        <v>2117.1999999999998</v>
      </c>
      <c r="G14">
        <v>9</v>
      </c>
      <c r="H14">
        <v>191.3</v>
      </c>
    </row>
    <row r="15" spans="1:8" x14ac:dyDescent="0.3">
      <c r="A15" t="s">
        <v>329</v>
      </c>
      <c r="B15" s="7">
        <v>44959</v>
      </c>
      <c r="C15" t="s">
        <v>4</v>
      </c>
      <c r="D15" t="s">
        <v>40</v>
      </c>
      <c r="E15" t="s">
        <v>37</v>
      </c>
      <c r="F15">
        <v>2250.09</v>
      </c>
      <c r="G15">
        <v>6</v>
      </c>
      <c r="H15">
        <v>332.91</v>
      </c>
    </row>
    <row r="16" spans="1:8" x14ac:dyDescent="0.3">
      <c r="A16" t="s">
        <v>328</v>
      </c>
      <c r="B16" s="7">
        <v>45144</v>
      </c>
      <c r="C16" t="s">
        <v>6</v>
      </c>
      <c r="D16" t="s">
        <v>38</v>
      </c>
      <c r="E16" t="s">
        <v>42</v>
      </c>
      <c r="F16">
        <v>3853.23</v>
      </c>
      <c r="G16">
        <v>8</v>
      </c>
      <c r="H16">
        <v>328.59</v>
      </c>
    </row>
    <row r="17" spans="1:8" x14ac:dyDescent="0.3">
      <c r="A17" t="s">
        <v>327</v>
      </c>
      <c r="B17" s="7">
        <v>45198</v>
      </c>
      <c r="C17" t="s">
        <v>3</v>
      </c>
      <c r="D17" t="s">
        <v>40</v>
      </c>
      <c r="E17" t="s">
        <v>37</v>
      </c>
      <c r="F17">
        <v>843.88</v>
      </c>
      <c r="G17">
        <v>3</v>
      </c>
      <c r="H17">
        <v>212.37</v>
      </c>
    </row>
    <row r="18" spans="1:8" x14ac:dyDescent="0.3">
      <c r="A18" t="s">
        <v>326</v>
      </c>
      <c r="B18" s="7">
        <v>45524</v>
      </c>
      <c r="C18" t="s">
        <v>5</v>
      </c>
      <c r="D18" t="s">
        <v>38</v>
      </c>
      <c r="E18" t="s">
        <v>44</v>
      </c>
      <c r="F18">
        <v>3172.52</v>
      </c>
      <c r="G18">
        <v>7</v>
      </c>
      <c r="H18">
        <v>302.36</v>
      </c>
    </row>
    <row r="19" spans="1:8" x14ac:dyDescent="0.3">
      <c r="A19" t="s">
        <v>325</v>
      </c>
      <c r="B19" s="7">
        <v>45020</v>
      </c>
      <c r="C19" t="s">
        <v>2</v>
      </c>
      <c r="D19" t="s">
        <v>38</v>
      </c>
      <c r="E19" t="s">
        <v>44</v>
      </c>
      <c r="F19">
        <v>803.11</v>
      </c>
      <c r="G19">
        <v>1</v>
      </c>
      <c r="H19">
        <v>691.66</v>
      </c>
    </row>
    <row r="20" spans="1:8" x14ac:dyDescent="0.3">
      <c r="A20" t="s">
        <v>324</v>
      </c>
      <c r="B20" s="7">
        <v>45537</v>
      </c>
      <c r="C20" t="s">
        <v>2</v>
      </c>
      <c r="D20" t="s">
        <v>38</v>
      </c>
      <c r="E20" t="s">
        <v>44</v>
      </c>
      <c r="F20">
        <v>856.87</v>
      </c>
      <c r="G20">
        <v>2</v>
      </c>
      <c r="H20">
        <v>320.12</v>
      </c>
    </row>
    <row r="21" spans="1:8" x14ac:dyDescent="0.3">
      <c r="A21" t="s">
        <v>323</v>
      </c>
      <c r="B21" s="7">
        <v>45493</v>
      </c>
      <c r="C21" t="s">
        <v>3</v>
      </c>
      <c r="D21" t="s">
        <v>40</v>
      </c>
      <c r="E21" t="s">
        <v>42</v>
      </c>
      <c r="F21">
        <v>630.91</v>
      </c>
      <c r="G21">
        <v>1</v>
      </c>
      <c r="H21">
        <v>550.62</v>
      </c>
    </row>
    <row r="22" spans="1:8" x14ac:dyDescent="0.3">
      <c r="A22" t="s">
        <v>322</v>
      </c>
      <c r="B22" s="7">
        <v>45583</v>
      </c>
      <c r="C22" t="s">
        <v>6</v>
      </c>
      <c r="D22" t="s">
        <v>38</v>
      </c>
      <c r="E22" t="s">
        <v>42</v>
      </c>
      <c r="F22">
        <v>817.92</v>
      </c>
      <c r="G22">
        <v>6</v>
      </c>
      <c r="H22">
        <v>107.01</v>
      </c>
    </row>
    <row r="23" spans="1:8" x14ac:dyDescent="0.3">
      <c r="A23" t="s">
        <v>321</v>
      </c>
      <c r="B23" s="7">
        <v>45196</v>
      </c>
      <c r="C23" t="s">
        <v>3</v>
      </c>
      <c r="D23" t="s">
        <v>40</v>
      </c>
      <c r="E23" t="s">
        <v>52</v>
      </c>
      <c r="F23">
        <v>7204.65</v>
      </c>
      <c r="G23">
        <v>9</v>
      </c>
      <c r="H23">
        <v>614.33000000000004</v>
      </c>
    </row>
    <row r="24" spans="1:8" x14ac:dyDescent="0.3">
      <c r="A24" t="s">
        <v>320</v>
      </c>
      <c r="B24" s="7">
        <v>45581</v>
      </c>
      <c r="C24" t="s">
        <v>4</v>
      </c>
      <c r="D24" t="s">
        <v>40</v>
      </c>
      <c r="E24" t="s">
        <v>42</v>
      </c>
      <c r="F24">
        <v>5172.8599999999997</v>
      </c>
      <c r="G24">
        <v>9</v>
      </c>
      <c r="H24">
        <v>495</v>
      </c>
    </row>
    <row r="25" spans="1:8" x14ac:dyDescent="0.3">
      <c r="A25" t="s">
        <v>319</v>
      </c>
      <c r="B25" s="7">
        <v>45540</v>
      </c>
      <c r="C25" t="s">
        <v>2</v>
      </c>
      <c r="D25" t="s">
        <v>38</v>
      </c>
      <c r="E25" t="s">
        <v>52</v>
      </c>
      <c r="F25">
        <v>2755.02</v>
      </c>
      <c r="G25">
        <v>6</v>
      </c>
      <c r="H25">
        <v>401.11</v>
      </c>
    </row>
    <row r="26" spans="1:8" x14ac:dyDescent="0.3">
      <c r="A26" t="s">
        <v>318</v>
      </c>
      <c r="B26" s="7">
        <v>45172</v>
      </c>
      <c r="C26" t="s">
        <v>5</v>
      </c>
      <c r="D26" t="s">
        <v>38</v>
      </c>
      <c r="E26" t="s">
        <v>42</v>
      </c>
      <c r="F26">
        <v>275.83999999999997</v>
      </c>
      <c r="G26">
        <v>1</v>
      </c>
      <c r="H26">
        <v>207.88</v>
      </c>
    </row>
    <row r="27" spans="1:8" x14ac:dyDescent="0.3">
      <c r="A27" t="s">
        <v>317</v>
      </c>
      <c r="B27" s="7">
        <v>45424</v>
      </c>
      <c r="C27" t="s">
        <v>4</v>
      </c>
      <c r="D27" t="s">
        <v>40</v>
      </c>
      <c r="E27" t="s">
        <v>52</v>
      </c>
      <c r="F27">
        <v>2055.84</v>
      </c>
      <c r="G27">
        <v>2</v>
      </c>
      <c r="H27">
        <v>782.83</v>
      </c>
    </row>
    <row r="28" spans="1:8" x14ac:dyDescent="0.3">
      <c r="A28" t="s">
        <v>316</v>
      </c>
      <c r="B28" s="7">
        <v>45602</v>
      </c>
      <c r="C28" t="s">
        <v>2</v>
      </c>
      <c r="D28" t="s">
        <v>38</v>
      </c>
      <c r="E28" t="s">
        <v>37</v>
      </c>
      <c r="F28">
        <v>7075.97</v>
      </c>
      <c r="G28">
        <v>8</v>
      </c>
      <c r="H28">
        <v>758.54</v>
      </c>
    </row>
    <row r="29" spans="1:8" x14ac:dyDescent="0.3">
      <c r="A29" t="s">
        <v>315</v>
      </c>
      <c r="B29" s="7">
        <v>45143</v>
      </c>
      <c r="C29" t="s">
        <v>6</v>
      </c>
      <c r="D29" t="s">
        <v>38</v>
      </c>
      <c r="E29" t="s">
        <v>44</v>
      </c>
      <c r="F29">
        <v>7542.93</v>
      </c>
      <c r="G29">
        <v>9</v>
      </c>
      <c r="H29">
        <v>609.11</v>
      </c>
    </row>
    <row r="30" spans="1:8" x14ac:dyDescent="0.3">
      <c r="A30" t="s">
        <v>314</v>
      </c>
      <c r="B30" s="7">
        <v>45335</v>
      </c>
      <c r="C30" t="s">
        <v>1</v>
      </c>
      <c r="D30" t="s">
        <v>40</v>
      </c>
      <c r="E30" t="s">
        <v>42</v>
      </c>
      <c r="F30">
        <v>2836.67</v>
      </c>
      <c r="G30">
        <v>6</v>
      </c>
      <c r="H30">
        <v>361.72</v>
      </c>
    </row>
    <row r="31" spans="1:8" x14ac:dyDescent="0.3">
      <c r="A31" t="s">
        <v>313</v>
      </c>
      <c r="B31" s="7">
        <v>45157</v>
      </c>
      <c r="C31" t="s">
        <v>4</v>
      </c>
      <c r="D31" t="s">
        <v>40</v>
      </c>
      <c r="E31" t="s">
        <v>37</v>
      </c>
      <c r="F31">
        <v>757.69</v>
      </c>
      <c r="G31">
        <v>2</v>
      </c>
      <c r="H31">
        <v>283.70999999999998</v>
      </c>
    </row>
    <row r="32" spans="1:8" x14ac:dyDescent="0.3">
      <c r="A32" t="s">
        <v>312</v>
      </c>
      <c r="B32" s="7">
        <v>44934</v>
      </c>
      <c r="C32" t="s">
        <v>2</v>
      </c>
      <c r="D32" t="s">
        <v>38</v>
      </c>
      <c r="E32" t="s">
        <v>37</v>
      </c>
      <c r="F32">
        <v>1285.6099999999999</v>
      </c>
      <c r="G32">
        <v>2</v>
      </c>
      <c r="H32">
        <v>572.12</v>
      </c>
    </row>
    <row r="33" spans="1:8" x14ac:dyDescent="0.3">
      <c r="A33" t="s">
        <v>311</v>
      </c>
      <c r="B33" s="7">
        <v>45265</v>
      </c>
      <c r="C33" t="s">
        <v>4</v>
      </c>
      <c r="D33" t="s">
        <v>40</v>
      </c>
      <c r="E33" t="s">
        <v>52</v>
      </c>
      <c r="F33">
        <v>1020.09</v>
      </c>
      <c r="G33">
        <v>2</v>
      </c>
      <c r="H33">
        <v>421.04</v>
      </c>
    </row>
    <row r="34" spans="1:8" x14ac:dyDescent="0.3">
      <c r="A34" t="s">
        <v>310</v>
      </c>
      <c r="B34" s="7">
        <v>45479</v>
      </c>
      <c r="C34" t="s">
        <v>3</v>
      </c>
      <c r="D34" t="s">
        <v>40</v>
      </c>
      <c r="E34" t="s">
        <v>37</v>
      </c>
      <c r="F34">
        <v>2546.5300000000002</v>
      </c>
      <c r="G34">
        <v>3</v>
      </c>
      <c r="H34">
        <v>584.22</v>
      </c>
    </row>
    <row r="35" spans="1:8" x14ac:dyDescent="0.3">
      <c r="A35" t="s">
        <v>309</v>
      </c>
      <c r="B35" s="7">
        <v>45175</v>
      </c>
      <c r="C35" t="s">
        <v>6</v>
      </c>
      <c r="D35" t="s">
        <v>38</v>
      </c>
      <c r="E35" t="s">
        <v>44</v>
      </c>
      <c r="F35">
        <v>6114.64</v>
      </c>
      <c r="G35">
        <v>8</v>
      </c>
      <c r="H35">
        <v>649.85</v>
      </c>
    </row>
    <row r="36" spans="1:8" x14ac:dyDescent="0.3">
      <c r="A36" t="s">
        <v>308</v>
      </c>
      <c r="B36" s="7">
        <v>45289</v>
      </c>
      <c r="C36" t="s">
        <v>4</v>
      </c>
      <c r="D36" t="s">
        <v>40</v>
      </c>
      <c r="E36" t="s">
        <v>44</v>
      </c>
      <c r="F36">
        <v>3447.05</v>
      </c>
      <c r="G36">
        <v>7</v>
      </c>
      <c r="H36">
        <v>340.66</v>
      </c>
    </row>
    <row r="37" spans="1:8" x14ac:dyDescent="0.3">
      <c r="A37" t="s">
        <v>307</v>
      </c>
      <c r="B37" s="7">
        <v>44989</v>
      </c>
      <c r="C37" t="s">
        <v>4</v>
      </c>
      <c r="D37" t="s">
        <v>40</v>
      </c>
      <c r="E37" t="s">
        <v>52</v>
      </c>
      <c r="F37">
        <v>5845.79</v>
      </c>
      <c r="G37">
        <v>7</v>
      </c>
      <c r="H37">
        <v>588.01</v>
      </c>
    </row>
    <row r="38" spans="1:8" x14ac:dyDescent="0.3">
      <c r="A38" t="s">
        <v>306</v>
      </c>
      <c r="B38" s="7">
        <v>45123</v>
      </c>
      <c r="C38" t="s">
        <v>4</v>
      </c>
      <c r="D38" t="s">
        <v>40</v>
      </c>
      <c r="E38" t="s">
        <v>37</v>
      </c>
      <c r="F38">
        <v>2026.83</v>
      </c>
      <c r="G38">
        <v>4</v>
      </c>
      <c r="H38">
        <v>438.3</v>
      </c>
    </row>
    <row r="39" spans="1:8" x14ac:dyDescent="0.3">
      <c r="A39" t="s">
        <v>305</v>
      </c>
      <c r="B39" s="7">
        <v>45400</v>
      </c>
      <c r="C39" t="s">
        <v>2</v>
      </c>
      <c r="D39" t="s">
        <v>38</v>
      </c>
      <c r="E39" t="s">
        <v>42</v>
      </c>
      <c r="F39">
        <v>3173.92</v>
      </c>
      <c r="G39">
        <v>4</v>
      </c>
      <c r="H39">
        <v>702.1</v>
      </c>
    </row>
    <row r="40" spans="1:8" x14ac:dyDescent="0.3">
      <c r="A40" t="s">
        <v>304</v>
      </c>
      <c r="B40" s="7">
        <v>44978</v>
      </c>
      <c r="C40" t="s">
        <v>6</v>
      </c>
      <c r="D40" t="s">
        <v>38</v>
      </c>
      <c r="E40" t="s">
        <v>52</v>
      </c>
      <c r="F40">
        <v>8998.33</v>
      </c>
      <c r="G40">
        <v>9</v>
      </c>
      <c r="H40">
        <v>672.1</v>
      </c>
    </row>
    <row r="41" spans="1:8" x14ac:dyDescent="0.3">
      <c r="A41" t="s">
        <v>303</v>
      </c>
      <c r="B41" s="7">
        <v>45343</v>
      </c>
      <c r="C41" t="s">
        <v>2</v>
      </c>
      <c r="D41" t="s">
        <v>38</v>
      </c>
      <c r="E41" t="s">
        <v>37</v>
      </c>
      <c r="F41">
        <v>4574.24</v>
      </c>
      <c r="G41">
        <v>8</v>
      </c>
      <c r="H41">
        <v>395.46</v>
      </c>
    </row>
    <row r="42" spans="1:8" x14ac:dyDescent="0.3">
      <c r="A42" t="s">
        <v>302</v>
      </c>
      <c r="B42" s="7">
        <v>45315</v>
      </c>
      <c r="C42" t="s">
        <v>4</v>
      </c>
      <c r="D42" t="s">
        <v>40</v>
      </c>
      <c r="E42" t="s">
        <v>37</v>
      </c>
      <c r="F42">
        <v>951.04</v>
      </c>
      <c r="G42">
        <v>1</v>
      </c>
      <c r="H42">
        <v>788.54</v>
      </c>
    </row>
    <row r="43" spans="1:8" x14ac:dyDescent="0.3">
      <c r="A43" t="s">
        <v>301</v>
      </c>
      <c r="B43" s="7">
        <v>45360</v>
      </c>
      <c r="C43" t="s">
        <v>3</v>
      </c>
      <c r="D43" t="s">
        <v>40</v>
      </c>
      <c r="E43" t="s">
        <v>42</v>
      </c>
      <c r="F43">
        <v>6248.51</v>
      </c>
      <c r="G43">
        <v>9</v>
      </c>
      <c r="H43">
        <v>536.26</v>
      </c>
    </row>
    <row r="44" spans="1:8" x14ac:dyDescent="0.3">
      <c r="A44" t="s">
        <v>300</v>
      </c>
      <c r="B44" s="7">
        <v>45149</v>
      </c>
      <c r="C44" t="s">
        <v>2</v>
      </c>
      <c r="D44" t="s">
        <v>38</v>
      </c>
      <c r="E44" t="s">
        <v>42</v>
      </c>
      <c r="F44">
        <v>621.25</v>
      </c>
      <c r="G44">
        <v>1</v>
      </c>
      <c r="H44">
        <v>471.76</v>
      </c>
    </row>
    <row r="45" spans="1:8" x14ac:dyDescent="0.3">
      <c r="A45" t="s">
        <v>299</v>
      </c>
      <c r="B45" s="7">
        <v>44985</v>
      </c>
      <c r="C45" t="s">
        <v>1</v>
      </c>
      <c r="D45" t="s">
        <v>40</v>
      </c>
      <c r="E45" t="s">
        <v>42</v>
      </c>
      <c r="F45">
        <v>618.9</v>
      </c>
      <c r="G45">
        <v>1</v>
      </c>
      <c r="H45">
        <v>475.66</v>
      </c>
    </row>
    <row r="46" spans="1:8" x14ac:dyDescent="0.3">
      <c r="A46" t="s">
        <v>298</v>
      </c>
      <c r="B46" s="7">
        <v>44985</v>
      </c>
      <c r="C46" t="s">
        <v>6</v>
      </c>
      <c r="D46" t="s">
        <v>38</v>
      </c>
      <c r="E46" t="s">
        <v>37</v>
      </c>
      <c r="F46">
        <v>871.83</v>
      </c>
      <c r="G46">
        <v>9</v>
      </c>
      <c r="H46">
        <v>82.49</v>
      </c>
    </row>
    <row r="47" spans="1:8" x14ac:dyDescent="0.3">
      <c r="A47" t="s">
        <v>297</v>
      </c>
      <c r="B47" s="7">
        <v>45618</v>
      </c>
      <c r="C47" t="s">
        <v>6</v>
      </c>
      <c r="D47" t="s">
        <v>38</v>
      </c>
      <c r="E47" t="s">
        <v>52</v>
      </c>
      <c r="F47">
        <v>1978.34</v>
      </c>
      <c r="G47">
        <v>4</v>
      </c>
      <c r="H47">
        <v>334.94</v>
      </c>
    </row>
    <row r="48" spans="1:8" x14ac:dyDescent="0.3">
      <c r="A48" t="s">
        <v>296</v>
      </c>
      <c r="B48" s="7">
        <v>45519</v>
      </c>
      <c r="C48" t="s">
        <v>6</v>
      </c>
      <c r="D48" t="s">
        <v>38</v>
      </c>
      <c r="E48" t="s">
        <v>37</v>
      </c>
      <c r="F48">
        <v>577.72</v>
      </c>
      <c r="G48">
        <v>10</v>
      </c>
      <c r="H48">
        <v>51</v>
      </c>
    </row>
    <row r="49" spans="1:8" x14ac:dyDescent="0.3">
      <c r="A49" t="s">
        <v>295</v>
      </c>
      <c r="B49" s="7">
        <v>45194</v>
      </c>
      <c r="C49" t="s">
        <v>1</v>
      </c>
      <c r="D49" t="s">
        <v>40</v>
      </c>
      <c r="E49" t="s">
        <v>42</v>
      </c>
      <c r="F49">
        <v>2659.17</v>
      </c>
      <c r="G49">
        <v>4</v>
      </c>
      <c r="H49">
        <v>542.39</v>
      </c>
    </row>
    <row r="50" spans="1:8" x14ac:dyDescent="0.3">
      <c r="A50" t="s">
        <v>294</v>
      </c>
      <c r="B50" s="7">
        <v>45061</v>
      </c>
      <c r="C50" t="s">
        <v>5</v>
      </c>
      <c r="D50" t="s">
        <v>38</v>
      </c>
      <c r="E50" t="s">
        <v>44</v>
      </c>
      <c r="F50">
        <v>2771.33</v>
      </c>
      <c r="G50">
        <v>5</v>
      </c>
      <c r="H50">
        <v>376.64</v>
      </c>
    </row>
    <row r="51" spans="1:8" x14ac:dyDescent="0.3">
      <c r="A51" t="s">
        <v>293</v>
      </c>
      <c r="B51" s="7">
        <v>45396</v>
      </c>
      <c r="C51" t="s">
        <v>4</v>
      </c>
      <c r="D51" t="s">
        <v>40</v>
      </c>
      <c r="E51" t="s">
        <v>52</v>
      </c>
      <c r="F51">
        <v>11969.38</v>
      </c>
      <c r="G51">
        <v>10</v>
      </c>
      <c r="H51">
        <v>798.79</v>
      </c>
    </row>
    <row r="52" spans="1:8" x14ac:dyDescent="0.3">
      <c r="A52" t="s">
        <v>292</v>
      </c>
      <c r="B52" s="7">
        <v>45445</v>
      </c>
      <c r="C52" t="s">
        <v>4</v>
      </c>
      <c r="D52" t="s">
        <v>40</v>
      </c>
      <c r="E52" t="s">
        <v>37</v>
      </c>
      <c r="F52">
        <v>764.34</v>
      </c>
      <c r="G52">
        <v>5</v>
      </c>
      <c r="H52">
        <v>123.32</v>
      </c>
    </row>
    <row r="53" spans="1:8" x14ac:dyDescent="0.3">
      <c r="A53" t="s">
        <v>291</v>
      </c>
      <c r="B53" s="7">
        <v>45305</v>
      </c>
      <c r="C53" t="s">
        <v>4</v>
      </c>
      <c r="D53" t="s">
        <v>40</v>
      </c>
      <c r="E53" t="s">
        <v>37</v>
      </c>
      <c r="F53">
        <v>1025.24</v>
      </c>
      <c r="G53">
        <v>5</v>
      </c>
      <c r="H53">
        <v>143.04</v>
      </c>
    </row>
    <row r="54" spans="1:8" x14ac:dyDescent="0.3">
      <c r="A54" t="s">
        <v>290</v>
      </c>
      <c r="B54" s="7">
        <v>45553</v>
      </c>
      <c r="C54" t="s">
        <v>1</v>
      </c>
      <c r="D54" t="s">
        <v>40</v>
      </c>
      <c r="E54" t="s">
        <v>42</v>
      </c>
      <c r="F54">
        <v>335.17</v>
      </c>
      <c r="G54">
        <v>9</v>
      </c>
      <c r="H54">
        <v>26.1</v>
      </c>
    </row>
    <row r="55" spans="1:8" x14ac:dyDescent="0.3">
      <c r="A55" t="s">
        <v>289</v>
      </c>
      <c r="B55" s="7">
        <v>45064</v>
      </c>
      <c r="C55" t="s">
        <v>5</v>
      </c>
      <c r="D55" t="s">
        <v>38</v>
      </c>
      <c r="E55" t="s">
        <v>52</v>
      </c>
      <c r="F55">
        <v>628.72</v>
      </c>
      <c r="G55">
        <v>5</v>
      </c>
      <c r="H55">
        <v>110.03</v>
      </c>
    </row>
    <row r="56" spans="1:8" x14ac:dyDescent="0.3">
      <c r="A56" t="s">
        <v>288</v>
      </c>
      <c r="B56" s="7">
        <v>45205</v>
      </c>
      <c r="C56" t="s">
        <v>6</v>
      </c>
      <c r="D56" t="s">
        <v>38</v>
      </c>
      <c r="E56" t="s">
        <v>37</v>
      </c>
      <c r="F56">
        <v>3410.54</v>
      </c>
      <c r="G56">
        <v>5</v>
      </c>
      <c r="H56">
        <v>491.77</v>
      </c>
    </row>
    <row r="57" spans="1:8" x14ac:dyDescent="0.3">
      <c r="A57" t="s">
        <v>287</v>
      </c>
      <c r="B57" s="7">
        <v>45444</v>
      </c>
      <c r="C57" t="s">
        <v>2</v>
      </c>
      <c r="D57" t="s">
        <v>38</v>
      </c>
      <c r="E57" t="s">
        <v>42</v>
      </c>
      <c r="F57">
        <v>2527</v>
      </c>
      <c r="G57">
        <v>8</v>
      </c>
      <c r="H57">
        <v>215.87</v>
      </c>
    </row>
    <row r="58" spans="1:8" x14ac:dyDescent="0.3">
      <c r="A58" t="s">
        <v>286</v>
      </c>
      <c r="B58" s="7">
        <v>45576</v>
      </c>
      <c r="C58" t="s">
        <v>4</v>
      </c>
      <c r="D58" t="s">
        <v>40</v>
      </c>
      <c r="E58" t="s">
        <v>52</v>
      </c>
      <c r="F58">
        <v>5217.38</v>
      </c>
      <c r="G58">
        <v>7</v>
      </c>
      <c r="H58">
        <v>666.89</v>
      </c>
    </row>
    <row r="59" spans="1:8" x14ac:dyDescent="0.3">
      <c r="A59" t="s">
        <v>285</v>
      </c>
      <c r="B59" s="7">
        <v>45579</v>
      </c>
      <c r="C59" t="s">
        <v>5</v>
      </c>
      <c r="D59" t="s">
        <v>38</v>
      </c>
      <c r="E59" t="s">
        <v>37</v>
      </c>
      <c r="F59">
        <v>932.21</v>
      </c>
      <c r="G59">
        <v>5</v>
      </c>
      <c r="H59">
        <v>146.03</v>
      </c>
    </row>
    <row r="60" spans="1:8" x14ac:dyDescent="0.3">
      <c r="A60" t="s">
        <v>284</v>
      </c>
      <c r="B60" s="7">
        <v>45501</v>
      </c>
      <c r="C60" t="s">
        <v>1</v>
      </c>
      <c r="D60" t="s">
        <v>40</v>
      </c>
      <c r="E60" t="s">
        <v>44</v>
      </c>
      <c r="F60">
        <v>158.53</v>
      </c>
      <c r="G60">
        <v>1</v>
      </c>
      <c r="H60">
        <v>107.26</v>
      </c>
    </row>
    <row r="61" spans="1:8" x14ac:dyDescent="0.3">
      <c r="A61" t="s">
        <v>283</v>
      </c>
      <c r="B61" s="7">
        <v>45485</v>
      </c>
      <c r="C61" t="s">
        <v>1</v>
      </c>
      <c r="D61" t="s">
        <v>40</v>
      </c>
      <c r="E61" t="s">
        <v>37</v>
      </c>
      <c r="F61">
        <v>894.42</v>
      </c>
      <c r="G61">
        <v>1</v>
      </c>
      <c r="H61">
        <v>670.98</v>
      </c>
    </row>
    <row r="62" spans="1:8" x14ac:dyDescent="0.3">
      <c r="A62" t="s">
        <v>282</v>
      </c>
      <c r="B62" s="7">
        <v>45057</v>
      </c>
      <c r="C62" t="s">
        <v>2</v>
      </c>
      <c r="D62" t="s">
        <v>38</v>
      </c>
      <c r="E62" t="s">
        <v>44</v>
      </c>
      <c r="F62">
        <v>380.14</v>
      </c>
      <c r="G62">
        <v>1</v>
      </c>
      <c r="H62">
        <v>260.44</v>
      </c>
    </row>
    <row r="63" spans="1:8" x14ac:dyDescent="0.3">
      <c r="A63" t="s">
        <v>281</v>
      </c>
      <c r="B63" s="7">
        <v>45142</v>
      </c>
      <c r="C63" t="s">
        <v>4</v>
      </c>
      <c r="D63" t="s">
        <v>40</v>
      </c>
      <c r="E63" t="s">
        <v>42</v>
      </c>
      <c r="F63">
        <v>2682.62</v>
      </c>
      <c r="G63">
        <v>4</v>
      </c>
      <c r="H63">
        <v>540.21</v>
      </c>
    </row>
    <row r="64" spans="1:8" x14ac:dyDescent="0.3">
      <c r="A64" t="s">
        <v>280</v>
      </c>
      <c r="B64" s="7">
        <v>45562</v>
      </c>
      <c r="C64" t="s">
        <v>6</v>
      </c>
      <c r="D64" t="s">
        <v>38</v>
      </c>
      <c r="E64" t="s">
        <v>44</v>
      </c>
      <c r="F64">
        <v>2659.75</v>
      </c>
      <c r="G64">
        <v>3</v>
      </c>
      <c r="H64">
        <v>742.1</v>
      </c>
    </row>
    <row r="65" spans="1:8" x14ac:dyDescent="0.3">
      <c r="A65" t="s">
        <v>279</v>
      </c>
      <c r="B65" s="7">
        <v>45349</v>
      </c>
      <c r="C65" t="s">
        <v>2</v>
      </c>
      <c r="D65" t="s">
        <v>38</v>
      </c>
      <c r="E65" t="s">
        <v>37</v>
      </c>
      <c r="F65">
        <v>235.02</v>
      </c>
      <c r="G65">
        <v>1</v>
      </c>
      <c r="H65">
        <v>159.9</v>
      </c>
    </row>
    <row r="66" spans="1:8" x14ac:dyDescent="0.3">
      <c r="A66" t="s">
        <v>278</v>
      </c>
      <c r="B66" s="7">
        <v>45200</v>
      </c>
      <c r="C66" t="s">
        <v>3</v>
      </c>
      <c r="D66" t="s">
        <v>40</v>
      </c>
      <c r="E66" t="s">
        <v>37</v>
      </c>
      <c r="F66">
        <v>2174.9499999999998</v>
      </c>
      <c r="G66">
        <v>3</v>
      </c>
      <c r="H66">
        <v>634.15</v>
      </c>
    </row>
    <row r="67" spans="1:8" x14ac:dyDescent="0.3">
      <c r="A67" t="s">
        <v>277</v>
      </c>
      <c r="B67" s="7">
        <v>45154</v>
      </c>
      <c r="C67" t="s">
        <v>4</v>
      </c>
      <c r="D67" t="s">
        <v>40</v>
      </c>
      <c r="E67" t="s">
        <v>44</v>
      </c>
      <c r="F67">
        <v>3374.36</v>
      </c>
      <c r="G67">
        <v>4</v>
      </c>
      <c r="H67">
        <v>656.94</v>
      </c>
    </row>
    <row r="68" spans="1:8" x14ac:dyDescent="0.3">
      <c r="A68" t="s">
        <v>276</v>
      </c>
      <c r="B68" s="7">
        <v>45155</v>
      </c>
      <c r="C68" t="s">
        <v>5</v>
      </c>
      <c r="D68" t="s">
        <v>38</v>
      </c>
      <c r="E68" t="s">
        <v>37</v>
      </c>
      <c r="F68">
        <v>673.56</v>
      </c>
      <c r="G68">
        <v>1</v>
      </c>
      <c r="H68">
        <v>534.83000000000004</v>
      </c>
    </row>
    <row r="69" spans="1:8" x14ac:dyDescent="0.3">
      <c r="A69" t="s">
        <v>275</v>
      </c>
      <c r="B69" s="7">
        <v>45212</v>
      </c>
      <c r="C69" t="s">
        <v>5</v>
      </c>
      <c r="D69" t="s">
        <v>38</v>
      </c>
      <c r="E69" t="s">
        <v>52</v>
      </c>
      <c r="F69">
        <v>3933.52</v>
      </c>
      <c r="G69">
        <v>6</v>
      </c>
      <c r="H69">
        <v>520.36</v>
      </c>
    </row>
    <row r="70" spans="1:8" x14ac:dyDescent="0.3">
      <c r="A70" t="s">
        <v>274</v>
      </c>
      <c r="B70" s="7">
        <v>44955</v>
      </c>
      <c r="C70" t="s">
        <v>6</v>
      </c>
      <c r="D70" t="s">
        <v>38</v>
      </c>
      <c r="E70" t="s">
        <v>42</v>
      </c>
      <c r="F70">
        <v>1696.13</v>
      </c>
      <c r="G70">
        <v>2</v>
      </c>
      <c r="H70">
        <v>704.09</v>
      </c>
    </row>
    <row r="71" spans="1:8" x14ac:dyDescent="0.3">
      <c r="A71" t="s">
        <v>273</v>
      </c>
      <c r="B71" s="7">
        <v>44966</v>
      </c>
      <c r="C71" t="s">
        <v>6</v>
      </c>
      <c r="D71" t="s">
        <v>38</v>
      </c>
      <c r="E71" t="s">
        <v>42</v>
      </c>
      <c r="F71">
        <v>1201.94</v>
      </c>
      <c r="G71">
        <v>2</v>
      </c>
      <c r="H71">
        <v>485.33</v>
      </c>
    </row>
    <row r="72" spans="1:8" x14ac:dyDescent="0.3">
      <c r="A72" t="s">
        <v>272</v>
      </c>
      <c r="B72" s="7">
        <v>45547</v>
      </c>
      <c r="C72" t="s">
        <v>5</v>
      </c>
      <c r="D72" t="s">
        <v>38</v>
      </c>
      <c r="E72" t="s">
        <v>44</v>
      </c>
      <c r="F72">
        <v>1447.83</v>
      </c>
      <c r="G72">
        <v>9</v>
      </c>
      <c r="H72">
        <v>110.2</v>
      </c>
    </row>
    <row r="73" spans="1:8" x14ac:dyDescent="0.3">
      <c r="A73" t="s">
        <v>271</v>
      </c>
      <c r="B73" s="7">
        <v>44972</v>
      </c>
      <c r="C73" t="s">
        <v>2</v>
      </c>
      <c r="D73" t="s">
        <v>38</v>
      </c>
      <c r="E73" t="s">
        <v>42</v>
      </c>
      <c r="F73">
        <v>219.42</v>
      </c>
      <c r="G73">
        <v>7</v>
      </c>
      <c r="H73">
        <v>21.32</v>
      </c>
    </row>
    <row r="74" spans="1:8" x14ac:dyDescent="0.3">
      <c r="A74" t="s">
        <v>270</v>
      </c>
      <c r="B74" s="7">
        <v>45299</v>
      </c>
      <c r="C74" t="s">
        <v>6</v>
      </c>
      <c r="D74" t="s">
        <v>38</v>
      </c>
      <c r="E74" t="s">
        <v>37</v>
      </c>
      <c r="F74">
        <v>712.97</v>
      </c>
      <c r="G74">
        <v>7</v>
      </c>
      <c r="H74">
        <v>74.58</v>
      </c>
    </row>
    <row r="75" spans="1:8" x14ac:dyDescent="0.3">
      <c r="A75" t="s">
        <v>269</v>
      </c>
      <c r="B75" s="7">
        <v>45606</v>
      </c>
      <c r="C75" t="s">
        <v>5</v>
      </c>
      <c r="D75" t="s">
        <v>38</v>
      </c>
      <c r="E75" t="s">
        <v>42</v>
      </c>
      <c r="F75">
        <v>1418.79</v>
      </c>
      <c r="G75">
        <v>2</v>
      </c>
      <c r="H75">
        <v>581.41</v>
      </c>
    </row>
    <row r="76" spans="1:8" x14ac:dyDescent="0.3">
      <c r="A76" t="s">
        <v>268</v>
      </c>
      <c r="B76" s="7">
        <v>45261</v>
      </c>
      <c r="C76" t="s">
        <v>5</v>
      </c>
      <c r="D76" t="s">
        <v>38</v>
      </c>
      <c r="E76" t="s">
        <v>44</v>
      </c>
      <c r="F76">
        <v>5216.66</v>
      </c>
      <c r="G76">
        <v>7</v>
      </c>
      <c r="H76">
        <v>563.82000000000005</v>
      </c>
    </row>
    <row r="77" spans="1:8" x14ac:dyDescent="0.3">
      <c r="A77" t="s">
        <v>267</v>
      </c>
      <c r="B77" s="7">
        <v>45607</v>
      </c>
      <c r="C77" t="s">
        <v>2</v>
      </c>
      <c r="D77" t="s">
        <v>38</v>
      </c>
      <c r="E77" t="s">
        <v>44</v>
      </c>
      <c r="F77">
        <v>5608.04</v>
      </c>
      <c r="G77">
        <v>7</v>
      </c>
      <c r="H77">
        <v>548.30999999999995</v>
      </c>
    </row>
    <row r="78" spans="1:8" x14ac:dyDescent="0.3">
      <c r="A78" t="s">
        <v>266</v>
      </c>
      <c r="B78" s="7">
        <v>45342</v>
      </c>
      <c r="C78" t="s">
        <v>6</v>
      </c>
      <c r="D78" t="s">
        <v>38</v>
      </c>
      <c r="E78" t="s">
        <v>42</v>
      </c>
      <c r="F78">
        <v>7369.35</v>
      </c>
      <c r="G78">
        <v>9</v>
      </c>
      <c r="H78">
        <v>670.31</v>
      </c>
    </row>
    <row r="79" spans="1:8" x14ac:dyDescent="0.3">
      <c r="A79" t="s">
        <v>265</v>
      </c>
      <c r="B79" s="7">
        <v>45520</v>
      </c>
      <c r="C79" t="s">
        <v>2</v>
      </c>
      <c r="D79" t="s">
        <v>38</v>
      </c>
      <c r="E79" t="s">
        <v>44</v>
      </c>
      <c r="F79">
        <v>6824.39</v>
      </c>
      <c r="G79">
        <v>10</v>
      </c>
      <c r="H79">
        <v>530.66999999999996</v>
      </c>
    </row>
    <row r="80" spans="1:8" x14ac:dyDescent="0.3">
      <c r="A80" t="s">
        <v>264</v>
      </c>
      <c r="B80" s="7">
        <v>45450</v>
      </c>
      <c r="C80" t="s">
        <v>3</v>
      </c>
      <c r="D80" t="s">
        <v>40</v>
      </c>
      <c r="E80" t="s">
        <v>37</v>
      </c>
      <c r="F80">
        <v>7587.17</v>
      </c>
      <c r="G80">
        <v>8</v>
      </c>
      <c r="H80">
        <v>639.11</v>
      </c>
    </row>
    <row r="81" spans="1:8" x14ac:dyDescent="0.3">
      <c r="A81" t="s">
        <v>263</v>
      </c>
      <c r="B81" s="7">
        <v>45601</v>
      </c>
      <c r="C81" t="s">
        <v>1</v>
      </c>
      <c r="D81" t="s">
        <v>40</v>
      </c>
      <c r="E81" t="s">
        <v>37</v>
      </c>
      <c r="F81">
        <v>659.15</v>
      </c>
      <c r="G81">
        <v>2</v>
      </c>
      <c r="H81">
        <v>241.35</v>
      </c>
    </row>
    <row r="82" spans="1:8" x14ac:dyDescent="0.3">
      <c r="A82" t="s">
        <v>262</v>
      </c>
      <c r="B82" s="7">
        <v>45022</v>
      </c>
      <c r="C82" t="s">
        <v>6</v>
      </c>
      <c r="D82" t="s">
        <v>38</v>
      </c>
      <c r="E82" t="s">
        <v>42</v>
      </c>
      <c r="F82">
        <v>2592.84</v>
      </c>
      <c r="G82">
        <v>4</v>
      </c>
      <c r="H82">
        <v>544.78</v>
      </c>
    </row>
    <row r="83" spans="1:8" x14ac:dyDescent="0.3">
      <c r="A83" t="s">
        <v>261</v>
      </c>
      <c r="B83" s="7">
        <v>44952</v>
      </c>
      <c r="C83" t="s">
        <v>2</v>
      </c>
      <c r="D83" t="s">
        <v>38</v>
      </c>
      <c r="E83" t="s">
        <v>37</v>
      </c>
      <c r="F83">
        <v>272.18</v>
      </c>
      <c r="G83">
        <v>1</v>
      </c>
      <c r="H83">
        <v>210.98</v>
      </c>
    </row>
    <row r="84" spans="1:8" x14ac:dyDescent="0.3">
      <c r="A84" t="s">
        <v>260</v>
      </c>
      <c r="B84" s="7">
        <v>45351</v>
      </c>
      <c r="C84" t="s">
        <v>4</v>
      </c>
      <c r="D84" t="s">
        <v>40</v>
      </c>
      <c r="E84" t="s">
        <v>44</v>
      </c>
      <c r="F84">
        <v>2366.4</v>
      </c>
      <c r="G84">
        <v>10</v>
      </c>
      <c r="H84">
        <v>171.66</v>
      </c>
    </row>
    <row r="85" spans="1:8" x14ac:dyDescent="0.3">
      <c r="A85" t="s">
        <v>259</v>
      </c>
      <c r="B85" s="7">
        <v>45176</v>
      </c>
      <c r="C85" t="s">
        <v>3</v>
      </c>
      <c r="D85" t="s">
        <v>40</v>
      </c>
      <c r="E85" t="s">
        <v>44</v>
      </c>
      <c r="F85">
        <v>1758.25</v>
      </c>
      <c r="G85">
        <v>3</v>
      </c>
      <c r="H85">
        <v>531.73</v>
      </c>
    </row>
    <row r="86" spans="1:8" x14ac:dyDescent="0.3">
      <c r="A86" t="s">
        <v>258</v>
      </c>
      <c r="B86" s="7">
        <v>45151</v>
      </c>
      <c r="C86" t="s">
        <v>4</v>
      </c>
      <c r="D86" t="s">
        <v>40</v>
      </c>
      <c r="E86" t="s">
        <v>44</v>
      </c>
      <c r="F86">
        <v>2676.27</v>
      </c>
      <c r="G86">
        <v>3</v>
      </c>
      <c r="H86">
        <v>647.21</v>
      </c>
    </row>
    <row r="87" spans="1:8" x14ac:dyDescent="0.3">
      <c r="A87" t="s">
        <v>257</v>
      </c>
      <c r="B87" s="7">
        <v>45497</v>
      </c>
      <c r="C87" t="s">
        <v>3</v>
      </c>
      <c r="D87" t="s">
        <v>40</v>
      </c>
      <c r="E87" t="s">
        <v>52</v>
      </c>
      <c r="F87">
        <v>3379.61</v>
      </c>
      <c r="G87">
        <v>4</v>
      </c>
      <c r="H87">
        <v>735.63</v>
      </c>
    </row>
    <row r="88" spans="1:8" x14ac:dyDescent="0.3">
      <c r="A88" t="s">
        <v>256</v>
      </c>
      <c r="B88" s="7">
        <v>45610</v>
      </c>
      <c r="C88" t="s">
        <v>2</v>
      </c>
      <c r="D88" t="s">
        <v>38</v>
      </c>
      <c r="E88" t="s">
        <v>44</v>
      </c>
      <c r="F88">
        <v>9521.2099999999991</v>
      </c>
      <c r="G88">
        <v>9</v>
      </c>
      <c r="H88">
        <v>790.56</v>
      </c>
    </row>
    <row r="89" spans="1:8" x14ac:dyDescent="0.3">
      <c r="A89" t="s">
        <v>255</v>
      </c>
      <c r="B89" s="7">
        <v>45488</v>
      </c>
      <c r="C89" t="s">
        <v>3</v>
      </c>
      <c r="D89" t="s">
        <v>40</v>
      </c>
      <c r="E89" t="s">
        <v>44</v>
      </c>
      <c r="F89">
        <v>8047.37</v>
      </c>
      <c r="G89">
        <v>8</v>
      </c>
      <c r="H89">
        <v>719.82</v>
      </c>
    </row>
    <row r="90" spans="1:8" x14ac:dyDescent="0.3">
      <c r="A90" t="s">
        <v>254</v>
      </c>
      <c r="B90" s="7">
        <v>45192</v>
      </c>
      <c r="C90" t="s">
        <v>3</v>
      </c>
      <c r="D90" t="s">
        <v>40</v>
      </c>
      <c r="E90" t="s">
        <v>44</v>
      </c>
      <c r="F90">
        <v>3269.93</v>
      </c>
      <c r="G90">
        <v>4</v>
      </c>
      <c r="H90">
        <v>675.09</v>
      </c>
    </row>
    <row r="91" spans="1:8" x14ac:dyDescent="0.3">
      <c r="A91" t="s">
        <v>253</v>
      </c>
      <c r="B91" s="7">
        <v>45568</v>
      </c>
      <c r="C91" t="s">
        <v>6</v>
      </c>
      <c r="D91" t="s">
        <v>38</v>
      </c>
      <c r="E91" t="s">
        <v>44</v>
      </c>
      <c r="F91">
        <v>1059.47</v>
      </c>
      <c r="G91">
        <v>4</v>
      </c>
      <c r="H91">
        <v>234.19</v>
      </c>
    </row>
    <row r="92" spans="1:8" x14ac:dyDescent="0.3">
      <c r="A92" t="s">
        <v>252</v>
      </c>
      <c r="B92" s="7">
        <v>45205</v>
      </c>
      <c r="C92" t="s">
        <v>5</v>
      </c>
      <c r="D92" t="s">
        <v>38</v>
      </c>
      <c r="E92" t="s">
        <v>37</v>
      </c>
      <c r="F92">
        <v>2127.04</v>
      </c>
      <c r="G92">
        <v>6</v>
      </c>
      <c r="H92">
        <v>269.37</v>
      </c>
    </row>
    <row r="93" spans="1:8" x14ac:dyDescent="0.3">
      <c r="A93" t="s">
        <v>251</v>
      </c>
      <c r="B93" s="7">
        <v>45163</v>
      </c>
      <c r="C93" t="s">
        <v>2</v>
      </c>
      <c r="D93" t="s">
        <v>38</v>
      </c>
      <c r="E93" t="s">
        <v>37</v>
      </c>
      <c r="F93">
        <v>5432.05</v>
      </c>
      <c r="G93">
        <v>7</v>
      </c>
      <c r="H93">
        <v>561.28</v>
      </c>
    </row>
    <row r="94" spans="1:8" x14ac:dyDescent="0.3">
      <c r="A94" t="s">
        <v>250</v>
      </c>
      <c r="B94" s="7">
        <v>45344</v>
      </c>
      <c r="C94" t="s">
        <v>4</v>
      </c>
      <c r="D94" t="s">
        <v>40</v>
      </c>
      <c r="E94" t="s">
        <v>44</v>
      </c>
      <c r="F94">
        <v>3367.67</v>
      </c>
      <c r="G94">
        <v>6</v>
      </c>
      <c r="H94">
        <v>443.24</v>
      </c>
    </row>
    <row r="95" spans="1:8" x14ac:dyDescent="0.3">
      <c r="A95" t="s">
        <v>249</v>
      </c>
      <c r="B95" s="7">
        <v>45325</v>
      </c>
      <c r="C95" t="s">
        <v>2</v>
      </c>
      <c r="D95" t="s">
        <v>38</v>
      </c>
      <c r="E95" t="s">
        <v>44</v>
      </c>
      <c r="F95">
        <v>8396.4500000000007</v>
      </c>
      <c r="G95">
        <v>10</v>
      </c>
      <c r="H95">
        <v>757.93</v>
      </c>
    </row>
    <row r="96" spans="1:8" x14ac:dyDescent="0.3">
      <c r="A96" t="s">
        <v>248</v>
      </c>
      <c r="B96" s="7">
        <v>45415</v>
      </c>
      <c r="C96" t="s">
        <v>6</v>
      </c>
      <c r="D96" t="s">
        <v>38</v>
      </c>
      <c r="E96" t="s">
        <v>44</v>
      </c>
      <c r="F96">
        <v>921.1</v>
      </c>
      <c r="G96">
        <v>1</v>
      </c>
      <c r="H96">
        <v>755.34</v>
      </c>
    </row>
    <row r="97" spans="1:8" x14ac:dyDescent="0.3">
      <c r="A97" t="s">
        <v>247</v>
      </c>
      <c r="B97" s="7">
        <v>45478</v>
      </c>
      <c r="C97" t="s">
        <v>3</v>
      </c>
      <c r="D97" t="s">
        <v>40</v>
      </c>
      <c r="E97" t="s">
        <v>44</v>
      </c>
      <c r="F97">
        <v>8455.77</v>
      </c>
      <c r="G97">
        <v>9</v>
      </c>
      <c r="H97">
        <v>643.9</v>
      </c>
    </row>
    <row r="98" spans="1:8" x14ac:dyDescent="0.3">
      <c r="A98" t="s">
        <v>246</v>
      </c>
      <c r="B98" s="7">
        <v>45206</v>
      </c>
      <c r="C98" t="s">
        <v>3</v>
      </c>
      <c r="D98" t="s">
        <v>40</v>
      </c>
      <c r="E98" t="s">
        <v>37</v>
      </c>
      <c r="F98">
        <v>3504.97</v>
      </c>
      <c r="G98">
        <v>7</v>
      </c>
      <c r="H98">
        <v>398.8</v>
      </c>
    </row>
    <row r="99" spans="1:8" x14ac:dyDescent="0.3">
      <c r="A99" t="s">
        <v>245</v>
      </c>
      <c r="B99" s="7">
        <v>45096</v>
      </c>
      <c r="C99" t="s">
        <v>1</v>
      </c>
      <c r="D99" t="s">
        <v>40</v>
      </c>
      <c r="E99" t="s">
        <v>44</v>
      </c>
      <c r="F99">
        <v>8801.4</v>
      </c>
      <c r="G99">
        <v>8</v>
      </c>
      <c r="H99">
        <v>737.24</v>
      </c>
    </row>
    <row r="100" spans="1:8" x14ac:dyDescent="0.3">
      <c r="A100" t="s">
        <v>244</v>
      </c>
      <c r="B100" s="7">
        <v>45330</v>
      </c>
      <c r="C100" t="s">
        <v>6</v>
      </c>
      <c r="D100" t="s">
        <v>38</v>
      </c>
      <c r="E100" t="s">
        <v>52</v>
      </c>
      <c r="F100">
        <v>5112.42</v>
      </c>
      <c r="G100">
        <v>10</v>
      </c>
      <c r="H100">
        <v>460.23</v>
      </c>
    </row>
    <row r="101" spans="1:8" x14ac:dyDescent="0.3">
      <c r="A101" t="s">
        <v>243</v>
      </c>
      <c r="B101" s="7">
        <v>45065</v>
      </c>
      <c r="C101" t="s">
        <v>1</v>
      </c>
      <c r="D101" t="s">
        <v>40</v>
      </c>
      <c r="E101" t="s">
        <v>44</v>
      </c>
      <c r="F101">
        <v>1558.06</v>
      </c>
      <c r="G101">
        <v>8</v>
      </c>
      <c r="H101">
        <v>161.75</v>
      </c>
    </row>
    <row r="102" spans="1:8" x14ac:dyDescent="0.3">
      <c r="A102" t="s">
        <v>242</v>
      </c>
      <c r="B102" s="7">
        <v>45392</v>
      </c>
      <c r="C102" t="s">
        <v>5</v>
      </c>
      <c r="D102" t="s">
        <v>38</v>
      </c>
      <c r="E102" t="s">
        <v>37</v>
      </c>
      <c r="F102">
        <v>2467.4299999999998</v>
      </c>
      <c r="G102">
        <v>6</v>
      </c>
      <c r="H102">
        <v>283.25</v>
      </c>
    </row>
    <row r="103" spans="1:8" x14ac:dyDescent="0.3">
      <c r="A103" t="s">
        <v>241</v>
      </c>
      <c r="B103" s="7">
        <v>45185</v>
      </c>
      <c r="C103" t="s">
        <v>5</v>
      </c>
      <c r="D103" t="s">
        <v>38</v>
      </c>
      <c r="E103" t="s">
        <v>44</v>
      </c>
      <c r="F103">
        <v>1082.8499999999999</v>
      </c>
      <c r="G103">
        <v>2</v>
      </c>
      <c r="H103">
        <v>386.84</v>
      </c>
    </row>
    <row r="104" spans="1:8" x14ac:dyDescent="0.3">
      <c r="A104" t="s">
        <v>240</v>
      </c>
      <c r="B104" s="7">
        <v>45156</v>
      </c>
      <c r="C104" t="s">
        <v>4</v>
      </c>
      <c r="D104" t="s">
        <v>40</v>
      </c>
      <c r="E104" t="s">
        <v>42</v>
      </c>
      <c r="F104">
        <v>1712.74</v>
      </c>
      <c r="G104">
        <v>2</v>
      </c>
      <c r="H104">
        <v>629.36</v>
      </c>
    </row>
    <row r="105" spans="1:8" x14ac:dyDescent="0.3">
      <c r="A105" t="s">
        <v>239</v>
      </c>
      <c r="B105" s="7">
        <v>45131</v>
      </c>
      <c r="C105" t="s">
        <v>4</v>
      </c>
      <c r="D105" t="s">
        <v>40</v>
      </c>
      <c r="E105" t="s">
        <v>37</v>
      </c>
      <c r="F105">
        <v>603.26</v>
      </c>
      <c r="G105">
        <v>1</v>
      </c>
      <c r="H105">
        <v>504.64</v>
      </c>
    </row>
    <row r="106" spans="1:8" x14ac:dyDescent="0.3">
      <c r="A106" t="s">
        <v>238</v>
      </c>
      <c r="B106" s="7">
        <v>45504</v>
      </c>
      <c r="C106" t="s">
        <v>3</v>
      </c>
      <c r="D106" t="s">
        <v>40</v>
      </c>
      <c r="E106" t="s">
        <v>52</v>
      </c>
      <c r="F106">
        <v>1840.93</v>
      </c>
      <c r="G106">
        <v>4</v>
      </c>
      <c r="H106">
        <v>382.73</v>
      </c>
    </row>
    <row r="107" spans="1:8" x14ac:dyDescent="0.3">
      <c r="A107" t="s">
        <v>237</v>
      </c>
      <c r="B107" s="7">
        <v>45547</v>
      </c>
      <c r="C107" t="s">
        <v>5</v>
      </c>
      <c r="D107" t="s">
        <v>38</v>
      </c>
      <c r="E107" t="s">
        <v>37</v>
      </c>
      <c r="F107">
        <v>10706.26</v>
      </c>
      <c r="G107">
        <v>10</v>
      </c>
      <c r="H107">
        <v>771.71</v>
      </c>
    </row>
    <row r="108" spans="1:8" x14ac:dyDescent="0.3">
      <c r="A108" t="s">
        <v>236</v>
      </c>
      <c r="B108" s="7">
        <v>45037</v>
      </c>
      <c r="C108" t="s">
        <v>2</v>
      </c>
      <c r="D108" t="s">
        <v>38</v>
      </c>
      <c r="E108" t="s">
        <v>42</v>
      </c>
      <c r="F108">
        <v>490.28</v>
      </c>
      <c r="G108">
        <v>10</v>
      </c>
      <c r="H108">
        <v>40.03</v>
      </c>
    </row>
    <row r="109" spans="1:8" x14ac:dyDescent="0.3">
      <c r="A109" t="s">
        <v>235</v>
      </c>
      <c r="B109" s="7">
        <v>45333</v>
      </c>
      <c r="C109" t="s">
        <v>1</v>
      </c>
      <c r="D109" t="s">
        <v>40</v>
      </c>
      <c r="E109" t="s">
        <v>44</v>
      </c>
      <c r="F109">
        <v>436.44</v>
      </c>
      <c r="G109">
        <v>4</v>
      </c>
      <c r="H109">
        <v>79.28</v>
      </c>
    </row>
    <row r="110" spans="1:8" x14ac:dyDescent="0.3">
      <c r="A110" t="s">
        <v>234</v>
      </c>
      <c r="B110" s="7">
        <v>45031</v>
      </c>
      <c r="C110" t="s">
        <v>1</v>
      </c>
      <c r="D110" t="s">
        <v>40</v>
      </c>
      <c r="E110" t="s">
        <v>37</v>
      </c>
      <c r="F110">
        <v>4578.2</v>
      </c>
      <c r="G110">
        <v>5</v>
      </c>
      <c r="H110">
        <v>683.23</v>
      </c>
    </row>
    <row r="111" spans="1:8" x14ac:dyDescent="0.3">
      <c r="A111" t="s">
        <v>233</v>
      </c>
      <c r="B111" s="7">
        <v>45282</v>
      </c>
      <c r="C111" t="s">
        <v>4</v>
      </c>
      <c r="D111" t="s">
        <v>40</v>
      </c>
      <c r="E111" t="s">
        <v>52</v>
      </c>
      <c r="F111">
        <v>3978.32</v>
      </c>
      <c r="G111">
        <v>9</v>
      </c>
      <c r="H111">
        <v>354.13</v>
      </c>
    </row>
    <row r="112" spans="1:8" x14ac:dyDescent="0.3">
      <c r="A112" t="s">
        <v>232</v>
      </c>
      <c r="B112" s="7">
        <v>44939</v>
      </c>
      <c r="C112" t="s">
        <v>6</v>
      </c>
      <c r="D112" t="s">
        <v>38</v>
      </c>
      <c r="E112" t="s">
        <v>42</v>
      </c>
      <c r="F112">
        <v>5288.39</v>
      </c>
      <c r="G112">
        <v>7</v>
      </c>
      <c r="H112">
        <v>661.42</v>
      </c>
    </row>
    <row r="113" spans="1:8" x14ac:dyDescent="0.3">
      <c r="A113" t="s">
        <v>231</v>
      </c>
      <c r="B113" s="7">
        <v>45651</v>
      </c>
      <c r="C113" t="s">
        <v>5</v>
      </c>
      <c r="D113" t="s">
        <v>38</v>
      </c>
      <c r="E113" t="s">
        <v>44</v>
      </c>
      <c r="F113">
        <v>1503.66</v>
      </c>
      <c r="G113">
        <v>3</v>
      </c>
      <c r="H113">
        <v>359.68</v>
      </c>
    </row>
    <row r="114" spans="1:8" x14ac:dyDescent="0.3">
      <c r="A114" t="s">
        <v>230</v>
      </c>
      <c r="B114" s="7">
        <v>45557</v>
      </c>
      <c r="C114" t="s">
        <v>1</v>
      </c>
      <c r="D114" t="s">
        <v>40</v>
      </c>
      <c r="E114" t="s">
        <v>42</v>
      </c>
      <c r="F114">
        <v>7224.44</v>
      </c>
      <c r="G114">
        <v>9</v>
      </c>
      <c r="H114">
        <v>624.22</v>
      </c>
    </row>
    <row r="115" spans="1:8" x14ac:dyDescent="0.3">
      <c r="A115" t="s">
        <v>229</v>
      </c>
      <c r="B115" s="7">
        <v>45257</v>
      </c>
      <c r="C115" t="s">
        <v>1</v>
      </c>
      <c r="D115" t="s">
        <v>40</v>
      </c>
      <c r="E115" t="s">
        <v>42</v>
      </c>
      <c r="F115">
        <v>3031.69</v>
      </c>
      <c r="G115">
        <v>4</v>
      </c>
      <c r="H115">
        <v>667.97</v>
      </c>
    </row>
    <row r="116" spans="1:8" x14ac:dyDescent="0.3">
      <c r="A116" t="s">
        <v>228</v>
      </c>
      <c r="B116" s="7">
        <v>45402</v>
      </c>
      <c r="C116" t="s">
        <v>3</v>
      </c>
      <c r="D116" t="s">
        <v>40</v>
      </c>
      <c r="E116" t="s">
        <v>37</v>
      </c>
      <c r="F116">
        <v>6208.67</v>
      </c>
      <c r="G116">
        <v>10</v>
      </c>
      <c r="H116">
        <v>496.06</v>
      </c>
    </row>
    <row r="117" spans="1:8" x14ac:dyDescent="0.3">
      <c r="A117" t="s">
        <v>227</v>
      </c>
      <c r="B117" s="7">
        <v>45259</v>
      </c>
      <c r="C117" t="s">
        <v>4</v>
      </c>
      <c r="D117" t="s">
        <v>40</v>
      </c>
      <c r="E117" t="s">
        <v>44</v>
      </c>
      <c r="F117">
        <v>1491.4</v>
      </c>
      <c r="G117">
        <v>3</v>
      </c>
      <c r="H117">
        <v>400.29</v>
      </c>
    </row>
    <row r="118" spans="1:8" x14ac:dyDescent="0.3">
      <c r="A118" t="s">
        <v>226</v>
      </c>
      <c r="B118" s="7">
        <v>45213</v>
      </c>
      <c r="C118" t="s">
        <v>5</v>
      </c>
      <c r="D118" t="s">
        <v>38</v>
      </c>
      <c r="E118" t="s">
        <v>42</v>
      </c>
      <c r="F118">
        <v>6862.61</v>
      </c>
      <c r="G118">
        <v>10</v>
      </c>
      <c r="H118">
        <v>566.91999999999996</v>
      </c>
    </row>
    <row r="119" spans="1:8" x14ac:dyDescent="0.3">
      <c r="A119" t="s">
        <v>225</v>
      </c>
      <c r="B119" s="7">
        <v>45014</v>
      </c>
      <c r="C119" t="s">
        <v>4</v>
      </c>
      <c r="D119" t="s">
        <v>40</v>
      </c>
      <c r="E119" t="s">
        <v>37</v>
      </c>
      <c r="F119">
        <v>3014</v>
      </c>
      <c r="G119">
        <v>4</v>
      </c>
      <c r="H119">
        <v>581.66</v>
      </c>
    </row>
    <row r="120" spans="1:8" x14ac:dyDescent="0.3">
      <c r="A120" t="s">
        <v>224</v>
      </c>
      <c r="B120" s="7">
        <v>45588</v>
      </c>
      <c r="C120" t="s">
        <v>2</v>
      </c>
      <c r="D120" t="s">
        <v>38</v>
      </c>
      <c r="E120" t="s">
        <v>44</v>
      </c>
      <c r="F120">
        <v>3272.7</v>
      </c>
      <c r="G120">
        <v>8</v>
      </c>
      <c r="H120">
        <v>369.58</v>
      </c>
    </row>
    <row r="121" spans="1:8" x14ac:dyDescent="0.3">
      <c r="A121" t="s">
        <v>223</v>
      </c>
      <c r="B121" s="7">
        <v>45341</v>
      </c>
      <c r="C121" t="s">
        <v>5</v>
      </c>
      <c r="D121" t="s">
        <v>38</v>
      </c>
      <c r="E121" t="s">
        <v>37</v>
      </c>
      <c r="F121">
        <v>1379.74</v>
      </c>
      <c r="G121">
        <v>4</v>
      </c>
      <c r="H121">
        <v>258.83999999999997</v>
      </c>
    </row>
    <row r="122" spans="1:8" x14ac:dyDescent="0.3">
      <c r="A122" t="s">
        <v>222</v>
      </c>
      <c r="B122" s="7">
        <v>45362</v>
      </c>
      <c r="C122" t="s">
        <v>3</v>
      </c>
      <c r="D122" t="s">
        <v>40</v>
      </c>
      <c r="E122" t="s">
        <v>42</v>
      </c>
      <c r="F122">
        <v>3455.87</v>
      </c>
      <c r="G122">
        <v>9</v>
      </c>
      <c r="H122">
        <v>278.02</v>
      </c>
    </row>
    <row r="123" spans="1:8" x14ac:dyDescent="0.3">
      <c r="A123" t="s">
        <v>221</v>
      </c>
      <c r="B123" s="7">
        <v>45184</v>
      </c>
      <c r="C123" t="s">
        <v>5</v>
      </c>
      <c r="D123" t="s">
        <v>38</v>
      </c>
      <c r="E123" t="s">
        <v>42</v>
      </c>
      <c r="F123">
        <v>537.25</v>
      </c>
      <c r="G123">
        <v>4</v>
      </c>
      <c r="H123">
        <v>114.11</v>
      </c>
    </row>
    <row r="124" spans="1:8" x14ac:dyDescent="0.3">
      <c r="A124" t="s">
        <v>220</v>
      </c>
      <c r="B124" s="7">
        <v>45123</v>
      </c>
      <c r="C124" t="s">
        <v>4</v>
      </c>
      <c r="D124" t="s">
        <v>40</v>
      </c>
      <c r="E124" t="s">
        <v>37</v>
      </c>
      <c r="F124">
        <v>2886.6</v>
      </c>
      <c r="G124">
        <v>4</v>
      </c>
      <c r="H124">
        <v>596.11</v>
      </c>
    </row>
    <row r="125" spans="1:8" x14ac:dyDescent="0.3">
      <c r="A125" t="s">
        <v>219</v>
      </c>
      <c r="B125" s="7">
        <v>45029</v>
      </c>
      <c r="C125" t="s">
        <v>6</v>
      </c>
      <c r="D125" t="s">
        <v>38</v>
      </c>
      <c r="E125" t="s">
        <v>42</v>
      </c>
      <c r="F125">
        <v>1249.68</v>
      </c>
      <c r="G125">
        <v>4</v>
      </c>
      <c r="H125">
        <v>251.07</v>
      </c>
    </row>
    <row r="126" spans="1:8" x14ac:dyDescent="0.3">
      <c r="A126" t="s">
        <v>218</v>
      </c>
      <c r="B126" s="7">
        <v>45652</v>
      </c>
      <c r="C126" t="s">
        <v>5</v>
      </c>
      <c r="D126" t="s">
        <v>38</v>
      </c>
      <c r="E126" t="s">
        <v>52</v>
      </c>
      <c r="F126">
        <v>1194.8800000000001</v>
      </c>
      <c r="G126">
        <v>9</v>
      </c>
      <c r="H126">
        <v>118.73</v>
      </c>
    </row>
    <row r="127" spans="1:8" x14ac:dyDescent="0.3">
      <c r="A127" t="s">
        <v>217</v>
      </c>
      <c r="B127" s="7">
        <v>45641</v>
      </c>
      <c r="C127" t="s">
        <v>4</v>
      </c>
      <c r="D127" t="s">
        <v>40</v>
      </c>
      <c r="E127" t="s">
        <v>42</v>
      </c>
      <c r="F127">
        <v>2175.4</v>
      </c>
      <c r="G127">
        <v>3</v>
      </c>
      <c r="H127">
        <v>517.54</v>
      </c>
    </row>
    <row r="128" spans="1:8" x14ac:dyDescent="0.3">
      <c r="A128" t="s">
        <v>216</v>
      </c>
      <c r="B128" s="7">
        <v>45514</v>
      </c>
      <c r="C128" t="s">
        <v>4</v>
      </c>
      <c r="D128" t="s">
        <v>40</v>
      </c>
      <c r="E128" t="s">
        <v>52</v>
      </c>
      <c r="F128">
        <v>2463.87</v>
      </c>
      <c r="G128">
        <v>5</v>
      </c>
      <c r="H128">
        <v>386.13</v>
      </c>
    </row>
    <row r="129" spans="1:8" x14ac:dyDescent="0.3">
      <c r="A129" t="s">
        <v>215</v>
      </c>
      <c r="B129" s="7">
        <v>45185</v>
      </c>
      <c r="C129" t="s">
        <v>2</v>
      </c>
      <c r="D129" t="s">
        <v>38</v>
      </c>
      <c r="E129" t="s">
        <v>52</v>
      </c>
      <c r="F129">
        <v>981.9</v>
      </c>
      <c r="G129">
        <v>8</v>
      </c>
      <c r="H129">
        <v>108.99</v>
      </c>
    </row>
    <row r="130" spans="1:8" x14ac:dyDescent="0.3">
      <c r="A130" t="s">
        <v>214</v>
      </c>
      <c r="B130" s="7">
        <v>45517</v>
      </c>
      <c r="C130" t="s">
        <v>3</v>
      </c>
      <c r="D130" t="s">
        <v>40</v>
      </c>
      <c r="E130" t="s">
        <v>52</v>
      </c>
      <c r="F130">
        <v>197.07</v>
      </c>
      <c r="G130">
        <v>1</v>
      </c>
      <c r="H130">
        <v>138.35</v>
      </c>
    </row>
    <row r="131" spans="1:8" x14ac:dyDescent="0.3">
      <c r="A131" t="s">
        <v>213</v>
      </c>
      <c r="B131" s="7">
        <v>45181</v>
      </c>
      <c r="C131" t="s">
        <v>5</v>
      </c>
      <c r="D131" t="s">
        <v>38</v>
      </c>
      <c r="E131" t="s">
        <v>52</v>
      </c>
      <c r="F131">
        <v>1153.25</v>
      </c>
      <c r="G131">
        <v>2</v>
      </c>
      <c r="H131">
        <v>455.3</v>
      </c>
    </row>
    <row r="132" spans="1:8" x14ac:dyDescent="0.3">
      <c r="A132" t="s">
        <v>212</v>
      </c>
      <c r="B132" s="7">
        <v>45462</v>
      </c>
      <c r="C132" t="s">
        <v>6</v>
      </c>
      <c r="D132" t="s">
        <v>38</v>
      </c>
      <c r="E132" t="s">
        <v>37</v>
      </c>
      <c r="F132">
        <v>3320.17</v>
      </c>
      <c r="G132">
        <v>7</v>
      </c>
      <c r="H132">
        <v>371.4</v>
      </c>
    </row>
    <row r="133" spans="1:8" x14ac:dyDescent="0.3">
      <c r="A133" t="s">
        <v>211</v>
      </c>
      <c r="B133" s="7">
        <v>45239</v>
      </c>
      <c r="C133" t="s">
        <v>6</v>
      </c>
      <c r="D133" t="s">
        <v>38</v>
      </c>
      <c r="E133" t="s">
        <v>44</v>
      </c>
      <c r="F133">
        <v>6778.39</v>
      </c>
      <c r="G133">
        <v>10</v>
      </c>
      <c r="H133">
        <v>504.4</v>
      </c>
    </row>
    <row r="134" spans="1:8" x14ac:dyDescent="0.3">
      <c r="A134" t="s">
        <v>210</v>
      </c>
      <c r="B134" s="7">
        <v>45139</v>
      </c>
      <c r="C134" t="s">
        <v>1</v>
      </c>
      <c r="D134" t="s">
        <v>40</v>
      </c>
      <c r="E134" t="s">
        <v>52</v>
      </c>
      <c r="F134">
        <v>1025.6600000000001</v>
      </c>
      <c r="G134">
        <v>4</v>
      </c>
      <c r="H134">
        <v>226.42</v>
      </c>
    </row>
    <row r="135" spans="1:8" x14ac:dyDescent="0.3">
      <c r="A135" t="s">
        <v>209</v>
      </c>
      <c r="B135" s="7">
        <v>45492</v>
      </c>
      <c r="C135" t="s">
        <v>2</v>
      </c>
      <c r="D135" t="s">
        <v>38</v>
      </c>
      <c r="E135" t="s">
        <v>37</v>
      </c>
      <c r="F135">
        <v>359.06</v>
      </c>
      <c r="G135">
        <v>2</v>
      </c>
      <c r="H135">
        <v>142.1</v>
      </c>
    </row>
    <row r="136" spans="1:8" x14ac:dyDescent="0.3">
      <c r="A136" t="s">
        <v>208</v>
      </c>
      <c r="B136" s="7">
        <v>45225</v>
      </c>
      <c r="C136" t="s">
        <v>1</v>
      </c>
      <c r="D136" t="s">
        <v>40</v>
      </c>
      <c r="E136" t="s">
        <v>44</v>
      </c>
      <c r="F136">
        <v>277.32</v>
      </c>
      <c r="G136">
        <v>1</v>
      </c>
      <c r="H136">
        <v>200.55</v>
      </c>
    </row>
    <row r="137" spans="1:8" x14ac:dyDescent="0.3">
      <c r="A137" t="s">
        <v>207</v>
      </c>
      <c r="B137" s="7">
        <v>44999</v>
      </c>
      <c r="C137" t="s">
        <v>1</v>
      </c>
      <c r="D137" t="s">
        <v>40</v>
      </c>
      <c r="E137" t="s">
        <v>44</v>
      </c>
      <c r="F137">
        <v>4192.47</v>
      </c>
      <c r="G137">
        <v>4</v>
      </c>
      <c r="H137">
        <v>740.65</v>
      </c>
    </row>
    <row r="138" spans="1:8" x14ac:dyDescent="0.3">
      <c r="A138" t="s">
        <v>206</v>
      </c>
      <c r="B138" s="7">
        <v>45362</v>
      </c>
      <c r="C138" t="s">
        <v>1</v>
      </c>
      <c r="D138" t="s">
        <v>40</v>
      </c>
      <c r="E138" t="s">
        <v>37</v>
      </c>
      <c r="F138">
        <v>1208.9100000000001</v>
      </c>
      <c r="G138">
        <v>2</v>
      </c>
      <c r="H138">
        <v>444.76</v>
      </c>
    </row>
    <row r="139" spans="1:8" x14ac:dyDescent="0.3">
      <c r="A139" t="s">
        <v>205</v>
      </c>
      <c r="B139" s="7">
        <v>45000</v>
      </c>
      <c r="C139" t="s">
        <v>5</v>
      </c>
      <c r="D139" t="s">
        <v>38</v>
      </c>
      <c r="E139" t="s">
        <v>37</v>
      </c>
      <c r="F139">
        <v>182.75</v>
      </c>
      <c r="G139">
        <v>1</v>
      </c>
      <c r="H139">
        <v>149.41999999999999</v>
      </c>
    </row>
    <row r="140" spans="1:8" x14ac:dyDescent="0.3">
      <c r="A140" t="s">
        <v>204</v>
      </c>
      <c r="B140" s="7">
        <v>45376</v>
      </c>
      <c r="C140" t="s">
        <v>1</v>
      </c>
      <c r="D140" t="s">
        <v>40</v>
      </c>
      <c r="E140" t="s">
        <v>42</v>
      </c>
      <c r="F140">
        <v>942.08</v>
      </c>
      <c r="G140">
        <v>2</v>
      </c>
      <c r="H140">
        <v>385.58</v>
      </c>
    </row>
    <row r="141" spans="1:8" x14ac:dyDescent="0.3">
      <c r="A141" t="s">
        <v>203</v>
      </c>
      <c r="B141" s="7">
        <v>45439</v>
      </c>
      <c r="C141" t="s">
        <v>3</v>
      </c>
      <c r="D141" t="s">
        <v>40</v>
      </c>
      <c r="E141" t="s">
        <v>42</v>
      </c>
      <c r="F141">
        <v>4128.41</v>
      </c>
      <c r="G141">
        <v>9</v>
      </c>
      <c r="H141">
        <v>405.16</v>
      </c>
    </row>
    <row r="142" spans="1:8" x14ac:dyDescent="0.3">
      <c r="A142" t="s">
        <v>202</v>
      </c>
      <c r="B142" s="7">
        <v>45257</v>
      </c>
      <c r="C142" t="s">
        <v>4</v>
      </c>
      <c r="D142" t="s">
        <v>40</v>
      </c>
      <c r="E142" t="s">
        <v>44</v>
      </c>
      <c r="F142">
        <v>2446.84</v>
      </c>
      <c r="G142">
        <v>10</v>
      </c>
      <c r="H142">
        <v>215.29</v>
      </c>
    </row>
    <row r="143" spans="1:8" x14ac:dyDescent="0.3">
      <c r="A143" t="s">
        <v>201</v>
      </c>
      <c r="B143" s="7">
        <v>45615</v>
      </c>
      <c r="C143" t="s">
        <v>1</v>
      </c>
      <c r="D143" t="s">
        <v>40</v>
      </c>
      <c r="E143" t="s">
        <v>52</v>
      </c>
      <c r="F143">
        <v>3298.6</v>
      </c>
      <c r="G143">
        <v>5</v>
      </c>
      <c r="H143">
        <v>469.47</v>
      </c>
    </row>
    <row r="144" spans="1:8" x14ac:dyDescent="0.3">
      <c r="A144" t="s">
        <v>200</v>
      </c>
      <c r="B144" s="7">
        <v>45458</v>
      </c>
      <c r="C144" t="s">
        <v>2</v>
      </c>
      <c r="D144" t="s">
        <v>38</v>
      </c>
      <c r="E144" t="s">
        <v>44</v>
      </c>
      <c r="F144">
        <v>6890.55</v>
      </c>
      <c r="G144">
        <v>8</v>
      </c>
      <c r="H144">
        <v>734.54</v>
      </c>
    </row>
    <row r="145" spans="1:8" x14ac:dyDescent="0.3">
      <c r="A145" t="s">
        <v>199</v>
      </c>
      <c r="B145" s="7">
        <v>45577</v>
      </c>
      <c r="C145" t="s">
        <v>6</v>
      </c>
      <c r="D145" t="s">
        <v>38</v>
      </c>
      <c r="E145" t="s">
        <v>44</v>
      </c>
      <c r="F145">
        <v>7994.49</v>
      </c>
      <c r="G145">
        <v>8</v>
      </c>
      <c r="H145">
        <v>775.86</v>
      </c>
    </row>
    <row r="146" spans="1:8" x14ac:dyDescent="0.3">
      <c r="A146" t="s">
        <v>198</v>
      </c>
      <c r="B146" s="7">
        <v>45255</v>
      </c>
      <c r="C146" t="s">
        <v>3</v>
      </c>
      <c r="D146" t="s">
        <v>40</v>
      </c>
      <c r="E146" t="s">
        <v>42</v>
      </c>
      <c r="F146">
        <v>1697.66</v>
      </c>
      <c r="G146">
        <v>2</v>
      </c>
      <c r="H146">
        <v>689.03</v>
      </c>
    </row>
    <row r="147" spans="1:8" x14ac:dyDescent="0.3">
      <c r="A147" t="s">
        <v>197</v>
      </c>
      <c r="B147" s="7">
        <v>45222</v>
      </c>
      <c r="C147" t="s">
        <v>1</v>
      </c>
      <c r="D147" t="s">
        <v>40</v>
      </c>
      <c r="E147" t="s">
        <v>44</v>
      </c>
      <c r="F147">
        <v>6048.5</v>
      </c>
      <c r="G147">
        <v>7</v>
      </c>
      <c r="H147">
        <v>654.58000000000004</v>
      </c>
    </row>
    <row r="148" spans="1:8" x14ac:dyDescent="0.3">
      <c r="A148" t="s">
        <v>196</v>
      </c>
      <c r="B148" s="7">
        <v>45249</v>
      </c>
      <c r="C148" t="s">
        <v>3</v>
      </c>
      <c r="D148" t="s">
        <v>40</v>
      </c>
      <c r="E148" t="s">
        <v>52</v>
      </c>
      <c r="F148">
        <v>2024.9</v>
      </c>
      <c r="G148">
        <v>5</v>
      </c>
      <c r="H148">
        <v>272.14999999999998</v>
      </c>
    </row>
    <row r="149" spans="1:8" x14ac:dyDescent="0.3">
      <c r="A149" t="s">
        <v>195</v>
      </c>
      <c r="B149" s="7">
        <v>45600</v>
      </c>
      <c r="C149" t="s">
        <v>3</v>
      </c>
      <c r="D149" t="s">
        <v>40</v>
      </c>
      <c r="E149" t="s">
        <v>52</v>
      </c>
      <c r="F149">
        <v>3839.58</v>
      </c>
      <c r="G149">
        <v>9</v>
      </c>
      <c r="H149">
        <v>380.34</v>
      </c>
    </row>
    <row r="150" spans="1:8" x14ac:dyDescent="0.3">
      <c r="A150" t="s">
        <v>194</v>
      </c>
      <c r="B150" s="7">
        <v>45564</v>
      </c>
      <c r="C150" t="s">
        <v>6</v>
      </c>
      <c r="D150" t="s">
        <v>38</v>
      </c>
      <c r="E150" t="s">
        <v>42</v>
      </c>
      <c r="F150">
        <v>5703.82</v>
      </c>
      <c r="G150">
        <v>8</v>
      </c>
      <c r="H150">
        <v>507.82</v>
      </c>
    </row>
    <row r="151" spans="1:8" x14ac:dyDescent="0.3">
      <c r="A151" t="s">
        <v>193</v>
      </c>
      <c r="B151" s="7">
        <v>45489</v>
      </c>
      <c r="C151" t="s">
        <v>2</v>
      </c>
      <c r="D151" t="s">
        <v>38</v>
      </c>
      <c r="E151" t="s">
        <v>42</v>
      </c>
      <c r="F151">
        <v>2844.74</v>
      </c>
      <c r="G151">
        <v>3</v>
      </c>
      <c r="H151">
        <v>743.58</v>
      </c>
    </row>
    <row r="152" spans="1:8" x14ac:dyDescent="0.3">
      <c r="A152" t="s">
        <v>192</v>
      </c>
      <c r="B152" s="7">
        <v>45051</v>
      </c>
      <c r="C152" t="s">
        <v>1</v>
      </c>
      <c r="D152" t="s">
        <v>40</v>
      </c>
      <c r="E152" t="s">
        <v>44</v>
      </c>
      <c r="F152">
        <v>1046.69</v>
      </c>
      <c r="G152">
        <v>1</v>
      </c>
      <c r="H152">
        <v>779.05</v>
      </c>
    </row>
    <row r="153" spans="1:8" x14ac:dyDescent="0.3">
      <c r="A153" t="s">
        <v>191</v>
      </c>
      <c r="B153" s="7">
        <v>45245</v>
      </c>
      <c r="C153" t="s">
        <v>2</v>
      </c>
      <c r="D153" t="s">
        <v>38</v>
      </c>
      <c r="E153" t="s">
        <v>37</v>
      </c>
      <c r="F153">
        <v>348.68</v>
      </c>
      <c r="G153">
        <v>9</v>
      </c>
      <c r="H153">
        <v>30.67</v>
      </c>
    </row>
    <row r="154" spans="1:8" x14ac:dyDescent="0.3">
      <c r="A154" t="s">
        <v>190</v>
      </c>
      <c r="B154" s="7">
        <v>45399</v>
      </c>
      <c r="C154" t="s">
        <v>2</v>
      </c>
      <c r="D154" t="s">
        <v>38</v>
      </c>
      <c r="E154" t="s">
        <v>52</v>
      </c>
      <c r="F154">
        <v>1220.1600000000001</v>
      </c>
      <c r="G154">
        <v>2</v>
      </c>
      <c r="H154">
        <v>525.21</v>
      </c>
    </row>
    <row r="155" spans="1:8" x14ac:dyDescent="0.3">
      <c r="A155" t="s">
        <v>189</v>
      </c>
      <c r="B155" s="7">
        <v>45448</v>
      </c>
      <c r="C155" t="s">
        <v>1</v>
      </c>
      <c r="D155" t="s">
        <v>40</v>
      </c>
      <c r="E155" t="s">
        <v>42</v>
      </c>
      <c r="F155">
        <v>2224.48</v>
      </c>
      <c r="G155">
        <v>5</v>
      </c>
      <c r="H155">
        <v>344.08</v>
      </c>
    </row>
    <row r="156" spans="1:8" x14ac:dyDescent="0.3">
      <c r="A156" t="s">
        <v>188</v>
      </c>
      <c r="B156" s="7">
        <v>45394</v>
      </c>
      <c r="C156" t="s">
        <v>3</v>
      </c>
      <c r="D156" t="s">
        <v>40</v>
      </c>
      <c r="E156" t="s">
        <v>37</v>
      </c>
      <c r="F156">
        <v>1406.06</v>
      </c>
      <c r="G156">
        <v>9</v>
      </c>
      <c r="H156">
        <v>132.82</v>
      </c>
    </row>
    <row r="157" spans="1:8" x14ac:dyDescent="0.3">
      <c r="A157" t="s">
        <v>187</v>
      </c>
      <c r="B157" s="7">
        <v>44998</v>
      </c>
      <c r="C157" t="s">
        <v>6</v>
      </c>
      <c r="D157" t="s">
        <v>38</v>
      </c>
      <c r="E157" t="s">
        <v>37</v>
      </c>
      <c r="F157">
        <v>4488.8599999999997</v>
      </c>
      <c r="G157">
        <v>5</v>
      </c>
      <c r="H157">
        <v>622.69000000000005</v>
      </c>
    </row>
    <row r="158" spans="1:8" x14ac:dyDescent="0.3">
      <c r="A158" t="s">
        <v>186</v>
      </c>
      <c r="B158" s="7">
        <v>44929</v>
      </c>
      <c r="C158" t="s">
        <v>5</v>
      </c>
      <c r="D158" t="s">
        <v>38</v>
      </c>
      <c r="E158" t="s">
        <v>42</v>
      </c>
      <c r="F158">
        <v>4206.82</v>
      </c>
      <c r="G158">
        <v>5</v>
      </c>
      <c r="H158">
        <v>586.32000000000005</v>
      </c>
    </row>
    <row r="159" spans="1:8" x14ac:dyDescent="0.3">
      <c r="A159" t="s">
        <v>185</v>
      </c>
      <c r="B159" s="7">
        <v>45079</v>
      </c>
      <c r="C159" t="s">
        <v>6</v>
      </c>
      <c r="D159" t="s">
        <v>38</v>
      </c>
      <c r="E159" t="s">
        <v>44</v>
      </c>
      <c r="F159">
        <v>4358.83</v>
      </c>
      <c r="G159">
        <v>8</v>
      </c>
      <c r="H159">
        <v>440.09</v>
      </c>
    </row>
    <row r="160" spans="1:8" x14ac:dyDescent="0.3">
      <c r="A160" t="s">
        <v>184</v>
      </c>
      <c r="B160" s="7">
        <v>45393</v>
      </c>
      <c r="C160" t="s">
        <v>6</v>
      </c>
      <c r="D160" t="s">
        <v>38</v>
      </c>
      <c r="E160" t="s">
        <v>44</v>
      </c>
      <c r="F160">
        <v>6252.39</v>
      </c>
      <c r="G160">
        <v>6</v>
      </c>
      <c r="H160">
        <v>698.29</v>
      </c>
    </row>
    <row r="161" spans="1:8" x14ac:dyDescent="0.3">
      <c r="A161" t="s">
        <v>183</v>
      </c>
      <c r="B161" s="7">
        <v>45166</v>
      </c>
      <c r="C161" t="s">
        <v>2</v>
      </c>
      <c r="D161" t="s">
        <v>38</v>
      </c>
      <c r="E161" t="s">
        <v>44</v>
      </c>
      <c r="F161">
        <v>528.79</v>
      </c>
      <c r="G161">
        <v>7</v>
      </c>
      <c r="H161">
        <v>54.04</v>
      </c>
    </row>
    <row r="162" spans="1:8" x14ac:dyDescent="0.3">
      <c r="A162" t="s">
        <v>182</v>
      </c>
      <c r="B162" s="7">
        <v>45322</v>
      </c>
      <c r="C162" t="s">
        <v>1</v>
      </c>
      <c r="D162" t="s">
        <v>40</v>
      </c>
      <c r="E162" t="s">
        <v>44</v>
      </c>
      <c r="F162">
        <v>1359.04</v>
      </c>
      <c r="G162">
        <v>3</v>
      </c>
      <c r="H162">
        <v>406.36</v>
      </c>
    </row>
    <row r="163" spans="1:8" x14ac:dyDescent="0.3">
      <c r="A163" t="s">
        <v>181</v>
      </c>
      <c r="B163" s="7">
        <v>45029</v>
      </c>
      <c r="C163" t="s">
        <v>6</v>
      </c>
      <c r="D163" t="s">
        <v>38</v>
      </c>
      <c r="E163" t="s">
        <v>42</v>
      </c>
      <c r="F163">
        <v>1145.3399999999999</v>
      </c>
      <c r="G163">
        <v>8</v>
      </c>
      <c r="H163">
        <v>97.78</v>
      </c>
    </row>
    <row r="164" spans="1:8" x14ac:dyDescent="0.3">
      <c r="A164" t="s">
        <v>180</v>
      </c>
      <c r="B164" s="7">
        <v>45346</v>
      </c>
      <c r="C164" t="s">
        <v>4</v>
      </c>
      <c r="D164" t="s">
        <v>40</v>
      </c>
      <c r="E164" t="s">
        <v>37</v>
      </c>
      <c r="F164">
        <v>332.12</v>
      </c>
      <c r="G164">
        <v>3</v>
      </c>
      <c r="H164">
        <v>78.37</v>
      </c>
    </row>
    <row r="165" spans="1:8" x14ac:dyDescent="0.3">
      <c r="A165" t="s">
        <v>179</v>
      </c>
      <c r="B165" s="7">
        <v>45565</v>
      </c>
      <c r="C165" t="s">
        <v>5</v>
      </c>
      <c r="D165" t="s">
        <v>38</v>
      </c>
      <c r="E165" t="s">
        <v>42</v>
      </c>
      <c r="F165">
        <v>5313.45</v>
      </c>
      <c r="G165">
        <v>7</v>
      </c>
      <c r="H165">
        <v>526.87</v>
      </c>
    </row>
    <row r="166" spans="1:8" x14ac:dyDescent="0.3">
      <c r="A166" t="s">
        <v>178</v>
      </c>
      <c r="B166" s="7">
        <v>45251</v>
      </c>
      <c r="C166" t="s">
        <v>1</v>
      </c>
      <c r="D166" t="s">
        <v>40</v>
      </c>
      <c r="E166" t="s">
        <v>44</v>
      </c>
      <c r="F166">
        <v>6244.51</v>
      </c>
      <c r="G166">
        <v>8</v>
      </c>
      <c r="H166">
        <v>700.46</v>
      </c>
    </row>
    <row r="167" spans="1:8" x14ac:dyDescent="0.3">
      <c r="A167" t="s">
        <v>177</v>
      </c>
      <c r="B167" s="7">
        <v>45573</v>
      </c>
      <c r="C167" t="s">
        <v>4</v>
      </c>
      <c r="D167" t="s">
        <v>40</v>
      </c>
      <c r="E167" t="s">
        <v>37</v>
      </c>
      <c r="F167">
        <v>5580.77</v>
      </c>
      <c r="G167">
        <v>5</v>
      </c>
      <c r="H167">
        <v>797.99</v>
      </c>
    </row>
    <row r="168" spans="1:8" x14ac:dyDescent="0.3">
      <c r="A168" t="s">
        <v>176</v>
      </c>
      <c r="B168" s="7">
        <v>45575</v>
      </c>
      <c r="C168" t="s">
        <v>3</v>
      </c>
      <c r="D168" t="s">
        <v>40</v>
      </c>
      <c r="E168" t="s">
        <v>52</v>
      </c>
      <c r="F168">
        <v>1008.6</v>
      </c>
      <c r="G168">
        <v>2</v>
      </c>
      <c r="H168">
        <v>366.07</v>
      </c>
    </row>
    <row r="169" spans="1:8" x14ac:dyDescent="0.3">
      <c r="A169" t="s">
        <v>175</v>
      </c>
      <c r="B169" s="7">
        <v>45259</v>
      </c>
      <c r="C169" t="s">
        <v>4</v>
      </c>
      <c r="D169" t="s">
        <v>40</v>
      </c>
      <c r="E169" t="s">
        <v>52</v>
      </c>
      <c r="F169">
        <v>311.02</v>
      </c>
      <c r="G169">
        <v>1</v>
      </c>
      <c r="H169">
        <v>248.83</v>
      </c>
    </row>
    <row r="170" spans="1:8" x14ac:dyDescent="0.3">
      <c r="A170" t="s">
        <v>174</v>
      </c>
      <c r="B170" s="7">
        <v>45470</v>
      </c>
      <c r="C170" t="s">
        <v>2</v>
      </c>
      <c r="D170" t="s">
        <v>38</v>
      </c>
      <c r="E170" t="s">
        <v>37</v>
      </c>
      <c r="F170">
        <v>4576.8500000000004</v>
      </c>
      <c r="G170">
        <v>7</v>
      </c>
      <c r="H170">
        <v>461.42</v>
      </c>
    </row>
    <row r="171" spans="1:8" x14ac:dyDescent="0.3">
      <c r="A171" t="s">
        <v>173</v>
      </c>
      <c r="B171" s="7">
        <v>45007</v>
      </c>
      <c r="C171" t="s">
        <v>2</v>
      </c>
      <c r="D171" t="s">
        <v>38</v>
      </c>
      <c r="E171" t="s">
        <v>37</v>
      </c>
      <c r="F171">
        <v>9425.08</v>
      </c>
      <c r="G171">
        <v>10</v>
      </c>
      <c r="H171">
        <v>699.25</v>
      </c>
    </row>
    <row r="172" spans="1:8" x14ac:dyDescent="0.3">
      <c r="A172" t="s">
        <v>172</v>
      </c>
      <c r="B172" s="7">
        <v>45524</v>
      </c>
      <c r="C172" t="s">
        <v>2</v>
      </c>
      <c r="D172" t="s">
        <v>38</v>
      </c>
      <c r="E172" t="s">
        <v>44</v>
      </c>
      <c r="F172">
        <v>817.61</v>
      </c>
      <c r="G172">
        <v>3</v>
      </c>
      <c r="H172">
        <v>201.11</v>
      </c>
    </row>
    <row r="173" spans="1:8" x14ac:dyDescent="0.3">
      <c r="A173" t="s">
        <v>171</v>
      </c>
      <c r="B173" s="7">
        <v>45609</v>
      </c>
      <c r="C173" t="s">
        <v>3</v>
      </c>
      <c r="D173" t="s">
        <v>40</v>
      </c>
      <c r="E173" t="s">
        <v>42</v>
      </c>
      <c r="F173">
        <v>927.47</v>
      </c>
      <c r="G173">
        <v>1</v>
      </c>
      <c r="H173">
        <v>721.15</v>
      </c>
    </row>
    <row r="174" spans="1:8" x14ac:dyDescent="0.3">
      <c r="A174" t="s">
        <v>170</v>
      </c>
      <c r="B174" s="7">
        <v>45002</v>
      </c>
      <c r="C174" t="s">
        <v>5</v>
      </c>
      <c r="D174" t="s">
        <v>38</v>
      </c>
      <c r="E174" t="s">
        <v>37</v>
      </c>
      <c r="F174">
        <v>9057.44</v>
      </c>
      <c r="G174">
        <v>8</v>
      </c>
      <c r="H174">
        <v>757.28</v>
      </c>
    </row>
    <row r="175" spans="1:8" x14ac:dyDescent="0.3">
      <c r="A175" t="s">
        <v>169</v>
      </c>
      <c r="B175" s="7">
        <v>45633</v>
      </c>
      <c r="C175" t="s">
        <v>5</v>
      </c>
      <c r="D175" t="s">
        <v>38</v>
      </c>
      <c r="E175" t="s">
        <v>44</v>
      </c>
      <c r="F175">
        <v>2297.21</v>
      </c>
      <c r="G175">
        <v>5</v>
      </c>
      <c r="H175">
        <v>376.33</v>
      </c>
    </row>
    <row r="176" spans="1:8" x14ac:dyDescent="0.3">
      <c r="A176" t="s">
        <v>168</v>
      </c>
      <c r="B176" s="7">
        <v>45036</v>
      </c>
      <c r="C176" t="s">
        <v>3</v>
      </c>
      <c r="D176" t="s">
        <v>40</v>
      </c>
      <c r="E176" t="s">
        <v>44</v>
      </c>
      <c r="F176">
        <v>1579.15</v>
      </c>
      <c r="G176">
        <v>4</v>
      </c>
      <c r="H176">
        <v>317.45999999999998</v>
      </c>
    </row>
    <row r="177" spans="1:8" x14ac:dyDescent="0.3">
      <c r="A177" t="s">
        <v>167</v>
      </c>
      <c r="B177" s="7">
        <v>44949</v>
      </c>
      <c r="C177" t="s">
        <v>5</v>
      </c>
      <c r="D177" t="s">
        <v>38</v>
      </c>
      <c r="E177" t="s">
        <v>42</v>
      </c>
      <c r="F177">
        <v>2173.4299999999998</v>
      </c>
      <c r="G177">
        <v>7</v>
      </c>
      <c r="H177">
        <v>234.09</v>
      </c>
    </row>
    <row r="178" spans="1:8" x14ac:dyDescent="0.3">
      <c r="A178" t="s">
        <v>166</v>
      </c>
      <c r="B178" s="7">
        <v>45547</v>
      </c>
      <c r="C178" t="s">
        <v>1</v>
      </c>
      <c r="D178" t="s">
        <v>40</v>
      </c>
      <c r="E178" t="s">
        <v>52</v>
      </c>
      <c r="F178">
        <v>7827.33</v>
      </c>
      <c r="G178">
        <v>8</v>
      </c>
      <c r="H178">
        <v>669.61</v>
      </c>
    </row>
    <row r="179" spans="1:8" x14ac:dyDescent="0.3">
      <c r="A179" t="s">
        <v>165</v>
      </c>
      <c r="B179" s="7">
        <v>45151</v>
      </c>
      <c r="C179" t="s">
        <v>2</v>
      </c>
      <c r="D179" t="s">
        <v>38</v>
      </c>
      <c r="E179" t="s">
        <v>42</v>
      </c>
      <c r="F179">
        <v>2765.79</v>
      </c>
      <c r="G179">
        <v>4</v>
      </c>
      <c r="H179">
        <v>504.3</v>
      </c>
    </row>
    <row r="180" spans="1:8" x14ac:dyDescent="0.3">
      <c r="A180" t="s">
        <v>164</v>
      </c>
      <c r="B180" s="7">
        <v>45570</v>
      </c>
      <c r="C180" t="s">
        <v>1</v>
      </c>
      <c r="D180" t="s">
        <v>40</v>
      </c>
      <c r="E180" t="s">
        <v>37</v>
      </c>
      <c r="F180">
        <v>1968.93</v>
      </c>
      <c r="G180">
        <v>2</v>
      </c>
      <c r="H180">
        <v>724.65</v>
      </c>
    </row>
    <row r="181" spans="1:8" x14ac:dyDescent="0.3">
      <c r="A181" t="s">
        <v>163</v>
      </c>
      <c r="B181" s="7">
        <v>44961</v>
      </c>
      <c r="C181" t="s">
        <v>5</v>
      </c>
      <c r="D181" t="s">
        <v>38</v>
      </c>
      <c r="E181" t="s">
        <v>44</v>
      </c>
      <c r="F181">
        <v>3510.6</v>
      </c>
      <c r="G181">
        <v>10</v>
      </c>
      <c r="H181">
        <v>304.58999999999997</v>
      </c>
    </row>
    <row r="182" spans="1:8" x14ac:dyDescent="0.3">
      <c r="A182" t="s">
        <v>162</v>
      </c>
      <c r="B182" s="7">
        <v>45352</v>
      </c>
      <c r="C182" t="s">
        <v>5</v>
      </c>
      <c r="D182" t="s">
        <v>38</v>
      </c>
      <c r="E182" t="s">
        <v>42</v>
      </c>
      <c r="F182">
        <v>749.54</v>
      </c>
      <c r="G182">
        <v>3</v>
      </c>
      <c r="H182">
        <v>176.62</v>
      </c>
    </row>
    <row r="183" spans="1:8" x14ac:dyDescent="0.3">
      <c r="A183" t="s">
        <v>161</v>
      </c>
      <c r="B183" s="7">
        <v>45095</v>
      </c>
      <c r="C183" t="s">
        <v>5</v>
      </c>
      <c r="D183" t="s">
        <v>38</v>
      </c>
      <c r="E183" t="s">
        <v>42</v>
      </c>
      <c r="F183">
        <v>5415.38</v>
      </c>
      <c r="G183">
        <v>5</v>
      </c>
      <c r="H183">
        <v>732.96</v>
      </c>
    </row>
    <row r="184" spans="1:8" x14ac:dyDescent="0.3">
      <c r="A184" t="s">
        <v>160</v>
      </c>
      <c r="B184" s="7">
        <v>45044</v>
      </c>
      <c r="C184" t="s">
        <v>5</v>
      </c>
      <c r="D184" t="s">
        <v>38</v>
      </c>
      <c r="E184" t="s">
        <v>42</v>
      </c>
      <c r="F184">
        <v>7132.63</v>
      </c>
      <c r="G184">
        <v>8</v>
      </c>
      <c r="H184">
        <v>771.06</v>
      </c>
    </row>
    <row r="185" spans="1:8" x14ac:dyDescent="0.3">
      <c r="A185" t="s">
        <v>159</v>
      </c>
      <c r="B185" s="7">
        <v>45497</v>
      </c>
      <c r="C185" t="s">
        <v>2</v>
      </c>
      <c r="D185" t="s">
        <v>38</v>
      </c>
      <c r="E185" t="s">
        <v>44</v>
      </c>
      <c r="F185">
        <v>682.55</v>
      </c>
      <c r="G185">
        <v>6</v>
      </c>
      <c r="H185">
        <v>90.44</v>
      </c>
    </row>
    <row r="186" spans="1:8" x14ac:dyDescent="0.3">
      <c r="A186" t="s">
        <v>158</v>
      </c>
      <c r="B186" s="7">
        <v>45392</v>
      </c>
      <c r="C186" t="s">
        <v>5</v>
      </c>
      <c r="D186" t="s">
        <v>38</v>
      </c>
      <c r="E186" t="s">
        <v>52</v>
      </c>
      <c r="F186">
        <v>4474.8599999999997</v>
      </c>
      <c r="G186">
        <v>6</v>
      </c>
      <c r="H186">
        <v>544.80999999999995</v>
      </c>
    </row>
    <row r="187" spans="1:8" x14ac:dyDescent="0.3">
      <c r="A187" t="s">
        <v>157</v>
      </c>
      <c r="B187" s="7">
        <v>45580</v>
      </c>
      <c r="C187" t="s">
        <v>6</v>
      </c>
      <c r="D187" t="s">
        <v>38</v>
      </c>
      <c r="E187" t="s">
        <v>44</v>
      </c>
      <c r="F187">
        <v>748.41</v>
      </c>
      <c r="G187">
        <v>6</v>
      </c>
      <c r="H187">
        <v>104.51</v>
      </c>
    </row>
    <row r="188" spans="1:8" x14ac:dyDescent="0.3">
      <c r="A188" t="s">
        <v>156</v>
      </c>
      <c r="B188" s="7">
        <v>45551</v>
      </c>
      <c r="C188" t="s">
        <v>4</v>
      </c>
      <c r="D188" t="s">
        <v>40</v>
      </c>
      <c r="E188" t="s">
        <v>42</v>
      </c>
      <c r="F188">
        <v>2844.66</v>
      </c>
      <c r="G188">
        <v>4</v>
      </c>
      <c r="H188">
        <v>525.16999999999996</v>
      </c>
    </row>
    <row r="189" spans="1:8" x14ac:dyDescent="0.3">
      <c r="A189" t="s">
        <v>155</v>
      </c>
      <c r="B189" s="7">
        <v>45591</v>
      </c>
      <c r="C189" t="s">
        <v>3</v>
      </c>
      <c r="D189" t="s">
        <v>40</v>
      </c>
      <c r="E189" t="s">
        <v>42</v>
      </c>
      <c r="F189">
        <v>868.87</v>
      </c>
      <c r="G189">
        <v>7</v>
      </c>
      <c r="H189">
        <v>111.01</v>
      </c>
    </row>
    <row r="190" spans="1:8" x14ac:dyDescent="0.3">
      <c r="A190" t="s">
        <v>154</v>
      </c>
      <c r="B190" s="7">
        <v>45431</v>
      </c>
      <c r="C190" t="s">
        <v>4</v>
      </c>
      <c r="D190" t="s">
        <v>40</v>
      </c>
      <c r="E190" t="s">
        <v>42</v>
      </c>
      <c r="F190">
        <v>278.79000000000002</v>
      </c>
      <c r="G190">
        <v>2</v>
      </c>
      <c r="H190">
        <v>95.81</v>
      </c>
    </row>
    <row r="191" spans="1:8" x14ac:dyDescent="0.3">
      <c r="A191" t="s">
        <v>153</v>
      </c>
      <c r="B191" s="7">
        <v>45391</v>
      </c>
      <c r="C191" t="s">
        <v>2</v>
      </c>
      <c r="D191" t="s">
        <v>38</v>
      </c>
      <c r="E191" t="s">
        <v>44</v>
      </c>
      <c r="F191">
        <v>4552.09</v>
      </c>
      <c r="G191">
        <v>6</v>
      </c>
      <c r="H191">
        <v>542.98</v>
      </c>
    </row>
    <row r="192" spans="1:8" x14ac:dyDescent="0.3">
      <c r="A192" t="s">
        <v>152</v>
      </c>
      <c r="B192" s="7">
        <v>45528</v>
      </c>
      <c r="C192" t="s">
        <v>6</v>
      </c>
      <c r="D192" t="s">
        <v>38</v>
      </c>
      <c r="E192" t="s">
        <v>44</v>
      </c>
      <c r="F192">
        <v>2903.53</v>
      </c>
      <c r="G192">
        <v>3</v>
      </c>
      <c r="H192">
        <v>710.62</v>
      </c>
    </row>
    <row r="193" spans="1:8" x14ac:dyDescent="0.3">
      <c r="A193" t="s">
        <v>151</v>
      </c>
      <c r="B193" s="7">
        <v>45213</v>
      </c>
      <c r="C193" t="s">
        <v>3</v>
      </c>
      <c r="D193" t="s">
        <v>40</v>
      </c>
      <c r="E193" t="s">
        <v>44</v>
      </c>
      <c r="F193">
        <v>662.79</v>
      </c>
      <c r="G193">
        <v>1</v>
      </c>
      <c r="H193">
        <v>558.41999999999996</v>
      </c>
    </row>
    <row r="194" spans="1:8" x14ac:dyDescent="0.3">
      <c r="A194" t="s">
        <v>150</v>
      </c>
      <c r="B194" s="7">
        <v>45298</v>
      </c>
      <c r="C194" t="s">
        <v>3</v>
      </c>
      <c r="D194" t="s">
        <v>40</v>
      </c>
      <c r="E194" t="s">
        <v>37</v>
      </c>
      <c r="F194">
        <v>1957.99</v>
      </c>
      <c r="G194">
        <v>2</v>
      </c>
      <c r="H194">
        <v>785.12</v>
      </c>
    </row>
    <row r="195" spans="1:8" x14ac:dyDescent="0.3">
      <c r="A195" t="s">
        <v>149</v>
      </c>
      <c r="B195" s="7">
        <v>44989</v>
      </c>
      <c r="C195" t="s">
        <v>1</v>
      </c>
      <c r="D195" t="s">
        <v>40</v>
      </c>
      <c r="E195" t="s">
        <v>42</v>
      </c>
      <c r="F195">
        <v>2448.56</v>
      </c>
      <c r="G195">
        <v>7</v>
      </c>
      <c r="H195">
        <v>235.19</v>
      </c>
    </row>
    <row r="196" spans="1:8" x14ac:dyDescent="0.3">
      <c r="A196" t="s">
        <v>148</v>
      </c>
      <c r="B196" s="7">
        <v>45605</v>
      </c>
      <c r="C196" t="s">
        <v>3</v>
      </c>
      <c r="D196" t="s">
        <v>40</v>
      </c>
      <c r="E196" t="s">
        <v>52</v>
      </c>
      <c r="F196">
        <v>2787.66</v>
      </c>
      <c r="G196">
        <v>4</v>
      </c>
      <c r="H196">
        <v>520.53</v>
      </c>
    </row>
    <row r="197" spans="1:8" x14ac:dyDescent="0.3">
      <c r="A197" t="s">
        <v>147</v>
      </c>
      <c r="B197" s="7">
        <v>45268</v>
      </c>
      <c r="C197" t="s">
        <v>4</v>
      </c>
      <c r="D197" t="s">
        <v>40</v>
      </c>
      <c r="E197" t="s">
        <v>52</v>
      </c>
      <c r="F197">
        <v>4477.9799999999996</v>
      </c>
      <c r="G197">
        <v>4</v>
      </c>
      <c r="H197">
        <v>791.28</v>
      </c>
    </row>
    <row r="198" spans="1:8" x14ac:dyDescent="0.3">
      <c r="A198" t="s">
        <v>146</v>
      </c>
      <c r="B198" s="7">
        <v>45494</v>
      </c>
      <c r="C198" t="s">
        <v>2</v>
      </c>
      <c r="D198" t="s">
        <v>38</v>
      </c>
      <c r="E198" t="s">
        <v>52</v>
      </c>
      <c r="F198">
        <v>2721.49</v>
      </c>
      <c r="G198">
        <v>4</v>
      </c>
      <c r="H198">
        <v>477.38</v>
      </c>
    </row>
    <row r="199" spans="1:8" x14ac:dyDescent="0.3">
      <c r="A199" t="s">
        <v>145</v>
      </c>
      <c r="B199" s="7">
        <v>45078</v>
      </c>
      <c r="C199" t="s">
        <v>2</v>
      </c>
      <c r="D199" t="s">
        <v>38</v>
      </c>
      <c r="E199" t="s">
        <v>42</v>
      </c>
      <c r="F199">
        <v>320.57</v>
      </c>
      <c r="G199">
        <v>10</v>
      </c>
      <c r="H199">
        <v>22.21</v>
      </c>
    </row>
    <row r="200" spans="1:8" x14ac:dyDescent="0.3">
      <c r="A200" t="s">
        <v>144</v>
      </c>
      <c r="B200" s="7">
        <v>45480</v>
      </c>
      <c r="C200" t="s">
        <v>2</v>
      </c>
      <c r="D200" t="s">
        <v>38</v>
      </c>
      <c r="E200" t="s">
        <v>37</v>
      </c>
      <c r="F200">
        <v>3676.95</v>
      </c>
      <c r="G200">
        <v>5</v>
      </c>
      <c r="H200">
        <v>642.84</v>
      </c>
    </row>
    <row r="201" spans="1:8" x14ac:dyDescent="0.3">
      <c r="A201" t="s">
        <v>143</v>
      </c>
      <c r="B201" s="7">
        <v>44942</v>
      </c>
      <c r="C201" t="s">
        <v>4</v>
      </c>
      <c r="D201" t="s">
        <v>40</v>
      </c>
      <c r="E201" t="s">
        <v>37</v>
      </c>
      <c r="F201">
        <v>4562.1400000000003</v>
      </c>
      <c r="G201">
        <v>6</v>
      </c>
      <c r="H201">
        <v>636.19000000000005</v>
      </c>
    </row>
    <row r="202" spans="1:8" x14ac:dyDescent="0.3">
      <c r="A202" t="s">
        <v>142</v>
      </c>
      <c r="B202" s="7">
        <v>45105</v>
      </c>
      <c r="C202" t="s">
        <v>5</v>
      </c>
      <c r="D202" t="s">
        <v>38</v>
      </c>
      <c r="E202" t="s">
        <v>52</v>
      </c>
      <c r="F202">
        <v>425.08</v>
      </c>
      <c r="G202">
        <v>5</v>
      </c>
      <c r="H202">
        <v>60.87</v>
      </c>
    </row>
    <row r="203" spans="1:8" x14ac:dyDescent="0.3">
      <c r="A203" t="s">
        <v>141</v>
      </c>
      <c r="B203" s="7">
        <v>44992</v>
      </c>
      <c r="C203" t="s">
        <v>6</v>
      </c>
      <c r="D203" t="s">
        <v>38</v>
      </c>
      <c r="E203" t="s">
        <v>52</v>
      </c>
      <c r="F203">
        <v>3681.17</v>
      </c>
      <c r="G203">
        <v>8</v>
      </c>
      <c r="H203">
        <v>369.65</v>
      </c>
    </row>
    <row r="204" spans="1:8" x14ac:dyDescent="0.3">
      <c r="A204" t="s">
        <v>140</v>
      </c>
      <c r="B204" s="7">
        <v>45389</v>
      </c>
      <c r="C204" t="s">
        <v>6</v>
      </c>
      <c r="D204" t="s">
        <v>38</v>
      </c>
      <c r="E204" t="s">
        <v>52</v>
      </c>
      <c r="F204">
        <v>2335.77</v>
      </c>
      <c r="G204">
        <v>9</v>
      </c>
      <c r="H204">
        <v>192.81</v>
      </c>
    </row>
    <row r="205" spans="1:8" x14ac:dyDescent="0.3">
      <c r="A205" t="s">
        <v>139</v>
      </c>
      <c r="B205" s="7">
        <v>45396</v>
      </c>
      <c r="C205" t="s">
        <v>1</v>
      </c>
      <c r="D205" t="s">
        <v>40</v>
      </c>
      <c r="E205" t="s">
        <v>42</v>
      </c>
      <c r="F205">
        <v>87.11</v>
      </c>
      <c r="G205">
        <v>1</v>
      </c>
      <c r="H205">
        <v>67.44</v>
      </c>
    </row>
    <row r="206" spans="1:8" x14ac:dyDescent="0.3">
      <c r="A206" t="s">
        <v>138</v>
      </c>
      <c r="B206" s="7">
        <v>45629</v>
      </c>
      <c r="C206" t="s">
        <v>3</v>
      </c>
      <c r="D206" t="s">
        <v>40</v>
      </c>
      <c r="E206" t="s">
        <v>44</v>
      </c>
      <c r="F206">
        <v>1178.1600000000001</v>
      </c>
      <c r="G206">
        <v>2</v>
      </c>
      <c r="H206">
        <v>402.41</v>
      </c>
    </row>
    <row r="207" spans="1:8" x14ac:dyDescent="0.3">
      <c r="A207" t="s">
        <v>137</v>
      </c>
      <c r="B207" s="7">
        <v>45256</v>
      </c>
      <c r="C207" t="s">
        <v>4</v>
      </c>
      <c r="D207" t="s">
        <v>40</v>
      </c>
      <c r="E207" t="s">
        <v>52</v>
      </c>
      <c r="F207">
        <v>1561.2</v>
      </c>
      <c r="G207">
        <v>10</v>
      </c>
      <c r="H207">
        <v>135.69999999999999</v>
      </c>
    </row>
    <row r="208" spans="1:8" x14ac:dyDescent="0.3">
      <c r="A208" t="s">
        <v>136</v>
      </c>
      <c r="B208" s="7">
        <v>45317</v>
      </c>
      <c r="C208" t="s">
        <v>6</v>
      </c>
      <c r="D208" t="s">
        <v>38</v>
      </c>
      <c r="E208" t="s">
        <v>42</v>
      </c>
      <c r="F208">
        <v>5559.47</v>
      </c>
      <c r="G208">
        <v>10</v>
      </c>
      <c r="H208">
        <v>433.83</v>
      </c>
    </row>
    <row r="209" spans="1:8" x14ac:dyDescent="0.3">
      <c r="A209" t="s">
        <v>135</v>
      </c>
      <c r="B209" s="7">
        <v>45028</v>
      </c>
      <c r="C209" t="s">
        <v>6</v>
      </c>
      <c r="D209" t="s">
        <v>38</v>
      </c>
      <c r="E209" t="s">
        <v>44</v>
      </c>
      <c r="F209">
        <v>1864.19</v>
      </c>
      <c r="G209">
        <v>2</v>
      </c>
      <c r="H209">
        <v>685.18</v>
      </c>
    </row>
    <row r="210" spans="1:8" x14ac:dyDescent="0.3">
      <c r="A210" t="s">
        <v>134</v>
      </c>
      <c r="B210" s="7">
        <v>45367</v>
      </c>
      <c r="C210" t="s">
        <v>6</v>
      </c>
      <c r="D210" t="s">
        <v>38</v>
      </c>
      <c r="E210" t="s">
        <v>37</v>
      </c>
      <c r="F210">
        <v>7215.62</v>
      </c>
      <c r="G210">
        <v>8</v>
      </c>
      <c r="H210">
        <v>712.71</v>
      </c>
    </row>
    <row r="211" spans="1:8" x14ac:dyDescent="0.3">
      <c r="A211" t="s">
        <v>133</v>
      </c>
      <c r="B211" s="7">
        <v>45352</v>
      </c>
      <c r="C211" t="s">
        <v>3</v>
      </c>
      <c r="D211" t="s">
        <v>40</v>
      </c>
      <c r="E211" t="s">
        <v>44</v>
      </c>
      <c r="F211">
        <v>646.29</v>
      </c>
      <c r="G211">
        <v>2</v>
      </c>
      <c r="H211">
        <v>263.79000000000002</v>
      </c>
    </row>
    <row r="212" spans="1:8" x14ac:dyDescent="0.3">
      <c r="A212" t="s">
        <v>132</v>
      </c>
      <c r="B212" s="7">
        <v>45083</v>
      </c>
      <c r="C212" t="s">
        <v>5</v>
      </c>
      <c r="D212" t="s">
        <v>38</v>
      </c>
      <c r="E212" t="s">
        <v>42</v>
      </c>
      <c r="F212">
        <v>829.37</v>
      </c>
      <c r="G212">
        <v>8</v>
      </c>
      <c r="H212">
        <v>72.36</v>
      </c>
    </row>
    <row r="213" spans="1:8" x14ac:dyDescent="0.3">
      <c r="A213" t="s">
        <v>131</v>
      </c>
      <c r="B213" s="7">
        <v>45025</v>
      </c>
      <c r="C213" t="s">
        <v>4</v>
      </c>
      <c r="D213" t="s">
        <v>40</v>
      </c>
      <c r="E213" t="s">
        <v>44</v>
      </c>
      <c r="F213">
        <v>5183.17</v>
      </c>
      <c r="G213">
        <v>6</v>
      </c>
      <c r="H213">
        <v>653.17999999999995</v>
      </c>
    </row>
    <row r="214" spans="1:8" x14ac:dyDescent="0.3">
      <c r="A214" t="s">
        <v>130</v>
      </c>
      <c r="B214" s="7">
        <v>45613</v>
      </c>
      <c r="C214" t="s">
        <v>6</v>
      </c>
      <c r="D214" t="s">
        <v>38</v>
      </c>
      <c r="E214" t="s">
        <v>42</v>
      </c>
      <c r="F214">
        <v>986.87</v>
      </c>
      <c r="G214">
        <v>2</v>
      </c>
      <c r="H214">
        <v>340.43</v>
      </c>
    </row>
    <row r="215" spans="1:8" x14ac:dyDescent="0.3">
      <c r="A215" t="s">
        <v>129</v>
      </c>
      <c r="B215" s="7">
        <v>45221</v>
      </c>
      <c r="C215" t="s">
        <v>3</v>
      </c>
      <c r="D215" t="s">
        <v>40</v>
      </c>
      <c r="E215" t="s">
        <v>52</v>
      </c>
      <c r="F215">
        <v>3010.09</v>
      </c>
      <c r="G215">
        <v>10</v>
      </c>
      <c r="H215">
        <v>263.70999999999998</v>
      </c>
    </row>
    <row r="216" spans="1:8" x14ac:dyDescent="0.3">
      <c r="A216" t="s">
        <v>128</v>
      </c>
      <c r="B216" s="7">
        <v>45085</v>
      </c>
      <c r="C216" t="s">
        <v>6</v>
      </c>
      <c r="D216" t="s">
        <v>38</v>
      </c>
      <c r="E216" t="s">
        <v>37</v>
      </c>
      <c r="F216">
        <v>1782.71</v>
      </c>
      <c r="G216">
        <v>8</v>
      </c>
      <c r="H216">
        <v>194.91</v>
      </c>
    </row>
    <row r="217" spans="1:8" x14ac:dyDescent="0.3">
      <c r="A217" t="s">
        <v>127</v>
      </c>
      <c r="B217" s="7">
        <v>45044</v>
      </c>
      <c r="C217" t="s">
        <v>6</v>
      </c>
      <c r="D217" t="s">
        <v>38</v>
      </c>
      <c r="E217" t="s">
        <v>42</v>
      </c>
      <c r="F217">
        <v>3328.14</v>
      </c>
      <c r="G217">
        <v>5</v>
      </c>
      <c r="H217">
        <v>467.8</v>
      </c>
    </row>
    <row r="218" spans="1:8" x14ac:dyDescent="0.3">
      <c r="A218" t="s">
        <v>126</v>
      </c>
      <c r="B218" s="7">
        <v>45550</v>
      </c>
      <c r="C218" t="s">
        <v>6</v>
      </c>
      <c r="D218" t="s">
        <v>38</v>
      </c>
      <c r="E218" t="s">
        <v>52</v>
      </c>
      <c r="F218">
        <v>257.45999999999998</v>
      </c>
      <c r="G218">
        <v>5</v>
      </c>
      <c r="H218">
        <v>42.58</v>
      </c>
    </row>
    <row r="219" spans="1:8" x14ac:dyDescent="0.3">
      <c r="A219" t="s">
        <v>125</v>
      </c>
      <c r="B219" s="7">
        <v>45286</v>
      </c>
      <c r="C219" t="s">
        <v>5</v>
      </c>
      <c r="D219" t="s">
        <v>38</v>
      </c>
      <c r="E219" t="s">
        <v>42</v>
      </c>
      <c r="F219">
        <v>186.9</v>
      </c>
      <c r="G219">
        <v>1</v>
      </c>
      <c r="H219">
        <v>161.5</v>
      </c>
    </row>
    <row r="220" spans="1:8" x14ac:dyDescent="0.3">
      <c r="A220" t="s">
        <v>124</v>
      </c>
      <c r="B220" s="7">
        <v>44998</v>
      </c>
      <c r="C220" t="s">
        <v>1</v>
      </c>
      <c r="D220" t="s">
        <v>40</v>
      </c>
      <c r="E220" t="s">
        <v>44</v>
      </c>
      <c r="F220">
        <v>2670.59</v>
      </c>
      <c r="G220">
        <v>3</v>
      </c>
      <c r="H220">
        <v>597.96</v>
      </c>
    </row>
    <row r="221" spans="1:8" x14ac:dyDescent="0.3">
      <c r="A221" t="s">
        <v>123</v>
      </c>
      <c r="B221" s="7">
        <v>45312</v>
      </c>
      <c r="C221" t="s">
        <v>4</v>
      </c>
      <c r="D221" t="s">
        <v>40</v>
      </c>
      <c r="E221" t="s">
        <v>37</v>
      </c>
      <c r="F221">
        <v>3043.34</v>
      </c>
      <c r="G221">
        <v>7</v>
      </c>
      <c r="H221">
        <v>373.84</v>
      </c>
    </row>
    <row r="222" spans="1:8" x14ac:dyDescent="0.3">
      <c r="A222" t="s">
        <v>122</v>
      </c>
      <c r="B222" s="7">
        <v>45508</v>
      </c>
      <c r="C222" t="s">
        <v>5</v>
      </c>
      <c r="D222" t="s">
        <v>38</v>
      </c>
      <c r="E222" t="s">
        <v>42</v>
      </c>
      <c r="F222">
        <v>967.12</v>
      </c>
      <c r="G222">
        <v>10</v>
      </c>
      <c r="H222">
        <v>86.27</v>
      </c>
    </row>
    <row r="223" spans="1:8" x14ac:dyDescent="0.3">
      <c r="A223" t="s">
        <v>121</v>
      </c>
      <c r="B223" s="7">
        <v>45617</v>
      </c>
      <c r="C223" t="s">
        <v>2</v>
      </c>
      <c r="D223" t="s">
        <v>38</v>
      </c>
      <c r="E223" t="s">
        <v>52</v>
      </c>
      <c r="F223">
        <v>633.91</v>
      </c>
      <c r="G223">
        <v>2</v>
      </c>
      <c r="H223">
        <v>232.24</v>
      </c>
    </row>
    <row r="224" spans="1:8" x14ac:dyDescent="0.3">
      <c r="A224" t="s">
        <v>120</v>
      </c>
      <c r="B224" s="7">
        <v>45351</v>
      </c>
      <c r="C224" t="s">
        <v>3</v>
      </c>
      <c r="D224" t="s">
        <v>40</v>
      </c>
      <c r="E224" t="s">
        <v>44</v>
      </c>
      <c r="F224">
        <v>1227.56</v>
      </c>
      <c r="G224">
        <v>5</v>
      </c>
      <c r="H224">
        <v>188.14</v>
      </c>
    </row>
    <row r="225" spans="1:8" x14ac:dyDescent="0.3">
      <c r="A225" t="s">
        <v>119</v>
      </c>
      <c r="B225" s="7">
        <v>45040</v>
      </c>
      <c r="C225" t="s">
        <v>5</v>
      </c>
      <c r="D225" t="s">
        <v>38</v>
      </c>
      <c r="E225" t="s">
        <v>44</v>
      </c>
      <c r="F225">
        <v>3670.83</v>
      </c>
      <c r="G225">
        <v>5</v>
      </c>
      <c r="H225">
        <v>549.01</v>
      </c>
    </row>
    <row r="226" spans="1:8" x14ac:dyDescent="0.3">
      <c r="A226" t="s">
        <v>118</v>
      </c>
      <c r="B226" s="7">
        <v>44973</v>
      </c>
      <c r="C226" t="s">
        <v>6</v>
      </c>
      <c r="D226" t="s">
        <v>38</v>
      </c>
      <c r="E226" t="s">
        <v>42</v>
      </c>
      <c r="F226">
        <v>1759.39</v>
      </c>
      <c r="G226">
        <v>4</v>
      </c>
      <c r="H226">
        <v>328.31</v>
      </c>
    </row>
    <row r="227" spans="1:8" x14ac:dyDescent="0.3">
      <c r="A227" t="s">
        <v>117</v>
      </c>
      <c r="B227" s="7">
        <v>45235</v>
      </c>
      <c r="C227" t="s">
        <v>4</v>
      </c>
      <c r="D227" t="s">
        <v>40</v>
      </c>
      <c r="E227" t="s">
        <v>37</v>
      </c>
      <c r="F227">
        <v>3477.78</v>
      </c>
      <c r="G227">
        <v>4</v>
      </c>
      <c r="H227">
        <v>618.53</v>
      </c>
    </row>
    <row r="228" spans="1:8" x14ac:dyDescent="0.3">
      <c r="A228" t="s">
        <v>116</v>
      </c>
      <c r="B228" s="7">
        <v>45049</v>
      </c>
      <c r="C228" t="s">
        <v>5</v>
      </c>
      <c r="D228" t="s">
        <v>38</v>
      </c>
      <c r="E228" t="s">
        <v>42</v>
      </c>
      <c r="F228">
        <v>519.03</v>
      </c>
      <c r="G228">
        <v>1</v>
      </c>
      <c r="H228">
        <v>407.96</v>
      </c>
    </row>
    <row r="229" spans="1:8" x14ac:dyDescent="0.3">
      <c r="A229" t="s">
        <v>115</v>
      </c>
      <c r="B229" s="7">
        <v>45472</v>
      </c>
      <c r="C229" t="s">
        <v>2</v>
      </c>
      <c r="D229" t="s">
        <v>38</v>
      </c>
      <c r="E229" t="s">
        <v>44</v>
      </c>
      <c r="F229">
        <v>2351.83</v>
      </c>
      <c r="G229">
        <v>4</v>
      </c>
      <c r="H229">
        <v>410.2</v>
      </c>
    </row>
    <row r="230" spans="1:8" x14ac:dyDescent="0.3">
      <c r="A230" t="s">
        <v>114</v>
      </c>
      <c r="B230" s="7">
        <v>45333</v>
      </c>
      <c r="C230" t="s">
        <v>5</v>
      </c>
      <c r="D230" t="s">
        <v>38</v>
      </c>
      <c r="E230" t="s">
        <v>52</v>
      </c>
      <c r="F230">
        <v>462.53</v>
      </c>
      <c r="G230">
        <v>1</v>
      </c>
      <c r="H230">
        <v>360.25</v>
      </c>
    </row>
    <row r="231" spans="1:8" x14ac:dyDescent="0.3">
      <c r="A231" t="s">
        <v>113</v>
      </c>
      <c r="B231" s="7">
        <v>45516</v>
      </c>
      <c r="C231" t="s">
        <v>4</v>
      </c>
      <c r="D231" t="s">
        <v>40</v>
      </c>
      <c r="E231" t="s">
        <v>42</v>
      </c>
      <c r="F231">
        <v>4526.0600000000004</v>
      </c>
      <c r="G231">
        <v>7</v>
      </c>
      <c r="H231">
        <v>467.25</v>
      </c>
    </row>
    <row r="232" spans="1:8" x14ac:dyDescent="0.3">
      <c r="A232" t="s">
        <v>112</v>
      </c>
      <c r="B232" s="7">
        <v>45044</v>
      </c>
      <c r="C232" t="s">
        <v>3</v>
      </c>
      <c r="D232" t="s">
        <v>40</v>
      </c>
      <c r="E232" t="s">
        <v>42</v>
      </c>
      <c r="F232">
        <v>312.26</v>
      </c>
      <c r="G232">
        <v>7</v>
      </c>
      <c r="H232">
        <v>36.270000000000003</v>
      </c>
    </row>
    <row r="233" spans="1:8" x14ac:dyDescent="0.3">
      <c r="A233" t="s">
        <v>111</v>
      </c>
      <c r="B233" s="7">
        <v>45633</v>
      </c>
      <c r="C233" t="s">
        <v>6</v>
      </c>
      <c r="D233" t="s">
        <v>38</v>
      </c>
      <c r="E233" t="s">
        <v>44</v>
      </c>
      <c r="F233">
        <v>765.54</v>
      </c>
      <c r="G233">
        <v>6</v>
      </c>
      <c r="H233">
        <v>88.74</v>
      </c>
    </row>
    <row r="234" spans="1:8" x14ac:dyDescent="0.3">
      <c r="A234" t="s">
        <v>110</v>
      </c>
      <c r="B234" s="7">
        <v>45530</v>
      </c>
      <c r="C234" t="s">
        <v>2</v>
      </c>
      <c r="D234" t="s">
        <v>38</v>
      </c>
      <c r="E234" t="s">
        <v>44</v>
      </c>
      <c r="F234">
        <v>3775.96</v>
      </c>
      <c r="G234">
        <v>7</v>
      </c>
      <c r="H234">
        <v>428.69</v>
      </c>
    </row>
    <row r="235" spans="1:8" x14ac:dyDescent="0.3">
      <c r="A235" t="s">
        <v>109</v>
      </c>
      <c r="B235" s="7">
        <v>45153</v>
      </c>
      <c r="C235" t="s">
        <v>5</v>
      </c>
      <c r="D235" t="s">
        <v>38</v>
      </c>
      <c r="E235" t="s">
        <v>42</v>
      </c>
      <c r="F235">
        <v>4257.95</v>
      </c>
      <c r="G235">
        <v>6</v>
      </c>
      <c r="H235">
        <v>627.71</v>
      </c>
    </row>
    <row r="236" spans="1:8" x14ac:dyDescent="0.3">
      <c r="A236" t="s">
        <v>108</v>
      </c>
      <c r="B236" s="7">
        <v>45470</v>
      </c>
      <c r="C236" t="s">
        <v>1</v>
      </c>
      <c r="D236" t="s">
        <v>40</v>
      </c>
      <c r="E236" t="s">
        <v>52</v>
      </c>
      <c r="F236">
        <v>2173.79</v>
      </c>
      <c r="G236">
        <v>9</v>
      </c>
      <c r="H236">
        <v>171.24</v>
      </c>
    </row>
    <row r="237" spans="1:8" x14ac:dyDescent="0.3">
      <c r="A237" t="s">
        <v>107</v>
      </c>
      <c r="B237" s="7">
        <v>45168</v>
      </c>
      <c r="C237" t="s">
        <v>5</v>
      </c>
      <c r="D237" t="s">
        <v>38</v>
      </c>
      <c r="E237" t="s">
        <v>37</v>
      </c>
      <c r="F237">
        <v>316.49</v>
      </c>
      <c r="G237">
        <v>2</v>
      </c>
      <c r="H237">
        <v>134.22999999999999</v>
      </c>
    </row>
    <row r="238" spans="1:8" x14ac:dyDescent="0.3">
      <c r="A238" t="s">
        <v>106</v>
      </c>
      <c r="B238" s="7">
        <v>45598</v>
      </c>
      <c r="C238" t="s">
        <v>6</v>
      </c>
      <c r="D238" t="s">
        <v>38</v>
      </c>
      <c r="E238" t="s">
        <v>37</v>
      </c>
      <c r="F238">
        <v>445.77</v>
      </c>
      <c r="G238">
        <v>2</v>
      </c>
      <c r="H238">
        <v>158.16999999999999</v>
      </c>
    </row>
    <row r="239" spans="1:8" x14ac:dyDescent="0.3">
      <c r="A239" t="s">
        <v>105</v>
      </c>
      <c r="B239" s="7">
        <v>45504</v>
      </c>
      <c r="C239" t="s">
        <v>3</v>
      </c>
      <c r="D239" t="s">
        <v>40</v>
      </c>
      <c r="E239" t="s">
        <v>44</v>
      </c>
      <c r="F239">
        <v>5439.95</v>
      </c>
      <c r="G239">
        <v>10</v>
      </c>
      <c r="H239">
        <v>370.15</v>
      </c>
    </row>
    <row r="240" spans="1:8" x14ac:dyDescent="0.3">
      <c r="A240" t="s">
        <v>104</v>
      </c>
      <c r="B240" s="7">
        <v>45569</v>
      </c>
      <c r="C240" t="s">
        <v>6</v>
      </c>
      <c r="D240" t="s">
        <v>38</v>
      </c>
      <c r="E240" t="s">
        <v>42</v>
      </c>
      <c r="F240">
        <v>931.73</v>
      </c>
      <c r="G240">
        <v>6</v>
      </c>
      <c r="H240">
        <v>137.75</v>
      </c>
    </row>
    <row r="241" spans="1:8" x14ac:dyDescent="0.3">
      <c r="A241" t="s">
        <v>103</v>
      </c>
      <c r="B241" s="7">
        <v>45208</v>
      </c>
      <c r="C241" t="s">
        <v>3</v>
      </c>
      <c r="D241" t="s">
        <v>40</v>
      </c>
      <c r="E241" t="s">
        <v>42</v>
      </c>
      <c r="F241">
        <v>831.4</v>
      </c>
      <c r="G241">
        <v>10</v>
      </c>
      <c r="H241">
        <v>63.81</v>
      </c>
    </row>
    <row r="242" spans="1:8" x14ac:dyDescent="0.3">
      <c r="A242" t="s">
        <v>102</v>
      </c>
      <c r="B242" s="7">
        <v>45389</v>
      </c>
      <c r="C242" t="s">
        <v>5</v>
      </c>
      <c r="D242" t="s">
        <v>38</v>
      </c>
      <c r="E242" t="s">
        <v>44</v>
      </c>
      <c r="F242">
        <v>92.22</v>
      </c>
      <c r="G242">
        <v>1</v>
      </c>
      <c r="H242">
        <v>64.37</v>
      </c>
    </row>
    <row r="243" spans="1:8" x14ac:dyDescent="0.3">
      <c r="A243" t="s">
        <v>101</v>
      </c>
      <c r="B243" s="7">
        <v>45556</v>
      </c>
      <c r="C243" t="s">
        <v>4</v>
      </c>
      <c r="D243" t="s">
        <v>40</v>
      </c>
      <c r="E243" t="s">
        <v>52</v>
      </c>
      <c r="F243">
        <v>5339.66</v>
      </c>
      <c r="G243">
        <v>10</v>
      </c>
      <c r="H243">
        <v>415.51</v>
      </c>
    </row>
    <row r="244" spans="1:8" x14ac:dyDescent="0.3">
      <c r="A244" t="s">
        <v>100</v>
      </c>
      <c r="B244" s="7">
        <v>45387</v>
      </c>
      <c r="C244" t="s">
        <v>6</v>
      </c>
      <c r="D244" t="s">
        <v>38</v>
      </c>
      <c r="E244" t="s">
        <v>52</v>
      </c>
      <c r="F244">
        <v>6492.35</v>
      </c>
      <c r="G244">
        <v>10</v>
      </c>
      <c r="H244">
        <v>528.42999999999995</v>
      </c>
    </row>
    <row r="245" spans="1:8" x14ac:dyDescent="0.3">
      <c r="A245" t="s">
        <v>99</v>
      </c>
      <c r="B245" s="7">
        <v>44990</v>
      </c>
      <c r="C245" t="s">
        <v>3</v>
      </c>
      <c r="D245" t="s">
        <v>40</v>
      </c>
      <c r="E245" t="s">
        <v>37</v>
      </c>
      <c r="F245">
        <v>1176.24</v>
      </c>
      <c r="G245">
        <v>8</v>
      </c>
      <c r="H245">
        <v>100.73</v>
      </c>
    </row>
    <row r="246" spans="1:8" x14ac:dyDescent="0.3">
      <c r="A246" t="s">
        <v>98</v>
      </c>
      <c r="B246" s="7">
        <v>45443</v>
      </c>
      <c r="C246" t="s">
        <v>5</v>
      </c>
      <c r="D246" t="s">
        <v>38</v>
      </c>
      <c r="E246" t="s">
        <v>52</v>
      </c>
      <c r="F246">
        <v>209.66</v>
      </c>
      <c r="G246">
        <v>3</v>
      </c>
      <c r="H246">
        <v>50.53</v>
      </c>
    </row>
    <row r="247" spans="1:8" x14ac:dyDescent="0.3">
      <c r="A247" t="s">
        <v>97</v>
      </c>
      <c r="B247" s="7">
        <v>45299</v>
      </c>
      <c r="C247" t="s">
        <v>3</v>
      </c>
      <c r="D247" t="s">
        <v>40</v>
      </c>
      <c r="E247" t="s">
        <v>37</v>
      </c>
      <c r="F247">
        <v>5541.86</v>
      </c>
      <c r="G247">
        <v>6</v>
      </c>
      <c r="H247">
        <v>735.99</v>
      </c>
    </row>
    <row r="248" spans="1:8" x14ac:dyDescent="0.3">
      <c r="A248" t="s">
        <v>96</v>
      </c>
      <c r="B248" s="7">
        <v>45573</v>
      </c>
      <c r="C248" t="s">
        <v>5</v>
      </c>
      <c r="D248" t="s">
        <v>38</v>
      </c>
      <c r="E248" t="s">
        <v>52</v>
      </c>
      <c r="F248">
        <v>487.5</v>
      </c>
      <c r="G248">
        <v>6</v>
      </c>
      <c r="H248">
        <v>71.41</v>
      </c>
    </row>
    <row r="249" spans="1:8" x14ac:dyDescent="0.3">
      <c r="A249" t="s">
        <v>95</v>
      </c>
      <c r="B249" s="7">
        <v>45217</v>
      </c>
      <c r="C249" t="s">
        <v>1</v>
      </c>
      <c r="D249" t="s">
        <v>40</v>
      </c>
      <c r="E249" t="s">
        <v>44</v>
      </c>
      <c r="F249">
        <v>3982.34</v>
      </c>
      <c r="G249">
        <v>5</v>
      </c>
      <c r="H249">
        <v>584.51</v>
      </c>
    </row>
    <row r="250" spans="1:8" x14ac:dyDescent="0.3">
      <c r="A250" t="s">
        <v>94</v>
      </c>
      <c r="B250" s="7">
        <v>45268</v>
      </c>
      <c r="C250" t="s">
        <v>6</v>
      </c>
      <c r="D250" t="s">
        <v>38</v>
      </c>
      <c r="E250" t="s">
        <v>37</v>
      </c>
      <c r="F250">
        <v>1097.68</v>
      </c>
      <c r="G250">
        <v>2</v>
      </c>
      <c r="H250">
        <v>474.54</v>
      </c>
    </row>
    <row r="251" spans="1:8" x14ac:dyDescent="0.3">
      <c r="A251" t="s">
        <v>93</v>
      </c>
      <c r="B251" s="7">
        <v>45598</v>
      </c>
      <c r="C251" t="s">
        <v>5</v>
      </c>
      <c r="D251" t="s">
        <v>38</v>
      </c>
      <c r="E251" t="s">
        <v>42</v>
      </c>
      <c r="F251">
        <v>1167.79</v>
      </c>
      <c r="G251">
        <v>7</v>
      </c>
      <c r="H251">
        <v>120.58</v>
      </c>
    </row>
    <row r="252" spans="1:8" x14ac:dyDescent="0.3">
      <c r="A252" t="s">
        <v>92</v>
      </c>
      <c r="B252" s="7">
        <v>45499</v>
      </c>
      <c r="C252" t="s">
        <v>4</v>
      </c>
      <c r="D252" t="s">
        <v>40</v>
      </c>
      <c r="E252" t="s">
        <v>42</v>
      </c>
      <c r="F252">
        <v>4498.8100000000004</v>
      </c>
      <c r="G252">
        <v>7</v>
      </c>
      <c r="H252">
        <v>521.91999999999996</v>
      </c>
    </row>
    <row r="253" spans="1:8" x14ac:dyDescent="0.3">
      <c r="A253" t="s">
        <v>91</v>
      </c>
      <c r="B253" s="7">
        <v>45588</v>
      </c>
      <c r="C253" t="s">
        <v>2</v>
      </c>
      <c r="D253" t="s">
        <v>38</v>
      </c>
      <c r="E253" t="s">
        <v>52</v>
      </c>
      <c r="F253">
        <v>3229.24</v>
      </c>
      <c r="G253">
        <v>7</v>
      </c>
      <c r="H253">
        <v>416.62</v>
      </c>
    </row>
    <row r="254" spans="1:8" x14ac:dyDescent="0.3">
      <c r="A254" t="s">
        <v>90</v>
      </c>
      <c r="B254" s="7">
        <v>45146</v>
      </c>
      <c r="C254" t="s">
        <v>5</v>
      </c>
      <c r="D254" t="s">
        <v>38</v>
      </c>
      <c r="E254" t="s">
        <v>37</v>
      </c>
      <c r="F254">
        <v>5896.59</v>
      </c>
      <c r="G254">
        <v>6</v>
      </c>
      <c r="H254">
        <v>759.18</v>
      </c>
    </row>
    <row r="255" spans="1:8" x14ac:dyDescent="0.3">
      <c r="A255" t="s">
        <v>89</v>
      </c>
      <c r="B255" s="7">
        <v>45085</v>
      </c>
      <c r="C255" t="s">
        <v>2</v>
      </c>
      <c r="D255" t="s">
        <v>38</v>
      </c>
      <c r="E255" t="s">
        <v>37</v>
      </c>
      <c r="F255">
        <v>709.66</v>
      </c>
      <c r="G255">
        <v>2</v>
      </c>
      <c r="H255">
        <v>250.72</v>
      </c>
    </row>
    <row r="256" spans="1:8" x14ac:dyDescent="0.3">
      <c r="A256" t="s">
        <v>88</v>
      </c>
      <c r="B256" s="7">
        <v>45604</v>
      </c>
      <c r="C256" t="s">
        <v>6</v>
      </c>
      <c r="D256" t="s">
        <v>38</v>
      </c>
      <c r="E256" t="s">
        <v>52</v>
      </c>
      <c r="F256">
        <v>5687.31</v>
      </c>
      <c r="G256">
        <v>6</v>
      </c>
      <c r="H256">
        <v>703.59</v>
      </c>
    </row>
    <row r="257" spans="1:8" x14ac:dyDescent="0.3">
      <c r="A257" t="s">
        <v>87</v>
      </c>
      <c r="B257" s="7">
        <v>45084</v>
      </c>
      <c r="C257" t="s">
        <v>6</v>
      </c>
      <c r="D257" t="s">
        <v>38</v>
      </c>
      <c r="E257" t="s">
        <v>44</v>
      </c>
      <c r="F257">
        <v>665.41</v>
      </c>
      <c r="G257">
        <v>3</v>
      </c>
      <c r="H257">
        <v>161.06</v>
      </c>
    </row>
    <row r="258" spans="1:8" x14ac:dyDescent="0.3">
      <c r="A258" t="s">
        <v>86</v>
      </c>
      <c r="B258" s="7">
        <v>45375</v>
      </c>
      <c r="C258" t="s">
        <v>6</v>
      </c>
      <c r="D258" t="s">
        <v>38</v>
      </c>
      <c r="E258" t="s">
        <v>37</v>
      </c>
      <c r="F258">
        <v>466.63</v>
      </c>
      <c r="G258">
        <v>1</v>
      </c>
      <c r="H258">
        <v>340.47</v>
      </c>
    </row>
    <row r="259" spans="1:8" x14ac:dyDescent="0.3">
      <c r="A259" t="s">
        <v>85</v>
      </c>
      <c r="B259" s="7">
        <v>45552</v>
      </c>
      <c r="C259" t="s">
        <v>2</v>
      </c>
      <c r="D259" t="s">
        <v>38</v>
      </c>
      <c r="E259" t="s">
        <v>44</v>
      </c>
      <c r="F259">
        <v>4289.1099999999997</v>
      </c>
      <c r="G259">
        <v>5</v>
      </c>
      <c r="H259">
        <v>606.87</v>
      </c>
    </row>
    <row r="260" spans="1:8" x14ac:dyDescent="0.3">
      <c r="A260" t="s">
        <v>84</v>
      </c>
      <c r="B260" s="7">
        <v>45243</v>
      </c>
      <c r="C260" t="s">
        <v>2</v>
      </c>
      <c r="D260" t="s">
        <v>38</v>
      </c>
      <c r="E260" t="s">
        <v>37</v>
      </c>
      <c r="F260">
        <v>6831.06</v>
      </c>
      <c r="G260">
        <v>8</v>
      </c>
      <c r="H260">
        <v>725.1</v>
      </c>
    </row>
    <row r="261" spans="1:8" x14ac:dyDescent="0.3">
      <c r="A261" t="s">
        <v>83</v>
      </c>
      <c r="B261" s="7">
        <v>45399</v>
      </c>
      <c r="C261" t="s">
        <v>1</v>
      </c>
      <c r="D261" t="s">
        <v>40</v>
      </c>
      <c r="E261" t="s">
        <v>44</v>
      </c>
      <c r="F261">
        <v>4078.75</v>
      </c>
      <c r="G261">
        <v>5</v>
      </c>
      <c r="H261">
        <v>626.94000000000005</v>
      </c>
    </row>
    <row r="262" spans="1:8" x14ac:dyDescent="0.3">
      <c r="A262" t="s">
        <v>82</v>
      </c>
      <c r="B262" s="7">
        <v>45131</v>
      </c>
      <c r="C262" t="s">
        <v>3</v>
      </c>
      <c r="D262" t="s">
        <v>40</v>
      </c>
      <c r="E262" t="s">
        <v>37</v>
      </c>
      <c r="F262">
        <v>1535.4</v>
      </c>
      <c r="G262">
        <v>10</v>
      </c>
      <c r="H262">
        <v>127.95</v>
      </c>
    </row>
    <row r="263" spans="1:8" x14ac:dyDescent="0.3">
      <c r="A263" t="s">
        <v>81</v>
      </c>
      <c r="B263" s="7">
        <v>45307</v>
      </c>
      <c r="C263" t="s">
        <v>1</v>
      </c>
      <c r="D263" t="s">
        <v>40</v>
      </c>
      <c r="E263" t="s">
        <v>44</v>
      </c>
      <c r="F263">
        <v>9330.2099999999991</v>
      </c>
      <c r="G263">
        <v>9</v>
      </c>
      <c r="H263">
        <v>748.75</v>
      </c>
    </row>
    <row r="264" spans="1:8" x14ac:dyDescent="0.3">
      <c r="A264" t="s">
        <v>80</v>
      </c>
      <c r="B264" s="7">
        <v>45218</v>
      </c>
      <c r="C264" t="s">
        <v>6</v>
      </c>
      <c r="D264" t="s">
        <v>38</v>
      </c>
      <c r="E264" t="s">
        <v>52</v>
      </c>
      <c r="F264">
        <v>1487.77</v>
      </c>
      <c r="G264">
        <v>2</v>
      </c>
      <c r="H264">
        <v>615.23</v>
      </c>
    </row>
    <row r="265" spans="1:8" x14ac:dyDescent="0.3">
      <c r="A265" t="s">
        <v>79</v>
      </c>
      <c r="B265" s="7">
        <v>45374</v>
      </c>
      <c r="C265" t="s">
        <v>6</v>
      </c>
      <c r="D265" t="s">
        <v>38</v>
      </c>
      <c r="E265" t="s">
        <v>37</v>
      </c>
      <c r="F265">
        <v>1802.72</v>
      </c>
      <c r="G265">
        <v>2</v>
      </c>
      <c r="H265">
        <v>758.2</v>
      </c>
    </row>
    <row r="266" spans="1:8" x14ac:dyDescent="0.3">
      <c r="A266" t="s">
        <v>78</v>
      </c>
      <c r="B266" s="7">
        <v>44954</v>
      </c>
      <c r="C266" t="s">
        <v>3</v>
      </c>
      <c r="D266" t="s">
        <v>40</v>
      </c>
      <c r="E266" t="s">
        <v>42</v>
      </c>
      <c r="F266">
        <v>560.36</v>
      </c>
      <c r="G266">
        <v>7</v>
      </c>
      <c r="H266">
        <v>61.54</v>
      </c>
    </row>
    <row r="267" spans="1:8" x14ac:dyDescent="0.3">
      <c r="A267" t="s">
        <v>77</v>
      </c>
      <c r="B267" s="7">
        <v>45010</v>
      </c>
      <c r="C267" t="s">
        <v>2</v>
      </c>
      <c r="D267" t="s">
        <v>38</v>
      </c>
      <c r="E267" t="s">
        <v>44</v>
      </c>
      <c r="F267">
        <v>1437.18</v>
      </c>
      <c r="G267">
        <v>6</v>
      </c>
      <c r="H267">
        <v>195.14</v>
      </c>
    </row>
    <row r="268" spans="1:8" x14ac:dyDescent="0.3">
      <c r="A268" t="s">
        <v>76</v>
      </c>
      <c r="B268" s="7">
        <v>45076</v>
      </c>
      <c r="C268" t="s">
        <v>4</v>
      </c>
      <c r="D268" t="s">
        <v>40</v>
      </c>
      <c r="E268" t="s">
        <v>42</v>
      </c>
      <c r="F268">
        <v>219.52</v>
      </c>
      <c r="G268">
        <v>3</v>
      </c>
      <c r="H268">
        <v>49.88</v>
      </c>
    </row>
    <row r="269" spans="1:8" x14ac:dyDescent="0.3">
      <c r="A269" t="s">
        <v>75</v>
      </c>
      <c r="B269" s="7">
        <v>45649</v>
      </c>
      <c r="C269" t="s">
        <v>3</v>
      </c>
      <c r="D269" t="s">
        <v>40</v>
      </c>
      <c r="E269" t="s">
        <v>37</v>
      </c>
      <c r="F269">
        <v>3261.42</v>
      </c>
      <c r="G269">
        <v>8</v>
      </c>
      <c r="H269">
        <v>369.91</v>
      </c>
    </row>
    <row r="270" spans="1:8" x14ac:dyDescent="0.3">
      <c r="A270" t="s">
        <v>74</v>
      </c>
      <c r="B270" s="7">
        <v>45189</v>
      </c>
      <c r="C270" t="s">
        <v>4</v>
      </c>
      <c r="D270" t="s">
        <v>40</v>
      </c>
      <c r="E270" t="s">
        <v>52</v>
      </c>
      <c r="F270">
        <v>3543.02</v>
      </c>
      <c r="G270">
        <v>4</v>
      </c>
      <c r="H270">
        <v>671.27</v>
      </c>
    </row>
    <row r="271" spans="1:8" x14ac:dyDescent="0.3">
      <c r="A271" t="s">
        <v>73</v>
      </c>
      <c r="B271" s="7">
        <v>45040</v>
      </c>
      <c r="C271" t="s">
        <v>1</v>
      </c>
      <c r="D271" t="s">
        <v>40</v>
      </c>
      <c r="E271" t="s">
        <v>44</v>
      </c>
      <c r="F271">
        <v>1179.53</v>
      </c>
      <c r="G271">
        <v>5</v>
      </c>
      <c r="H271">
        <v>205.36</v>
      </c>
    </row>
    <row r="272" spans="1:8" x14ac:dyDescent="0.3">
      <c r="A272" t="s">
        <v>72</v>
      </c>
      <c r="B272" s="7">
        <v>45581</v>
      </c>
      <c r="C272" t="s">
        <v>2</v>
      </c>
      <c r="D272" t="s">
        <v>38</v>
      </c>
      <c r="E272" t="s">
        <v>44</v>
      </c>
      <c r="F272">
        <v>4309.0200000000004</v>
      </c>
      <c r="G272">
        <v>10</v>
      </c>
      <c r="H272">
        <v>376.55</v>
      </c>
    </row>
    <row r="273" spans="1:8" x14ac:dyDescent="0.3">
      <c r="A273" t="s">
        <v>71</v>
      </c>
      <c r="B273" s="7">
        <v>45574</v>
      </c>
      <c r="C273" t="s">
        <v>3</v>
      </c>
      <c r="D273" t="s">
        <v>40</v>
      </c>
      <c r="E273" t="s">
        <v>52</v>
      </c>
      <c r="F273">
        <v>5850.55</v>
      </c>
      <c r="G273">
        <v>9</v>
      </c>
      <c r="H273">
        <v>468.54</v>
      </c>
    </row>
    <row r="274" spans="1:8" x14ac:dyDescent="0.3">
      <c r="A274" t="s">
        <v>70</v>
      </c>
      <c r="B274" s="7">
        <v>44928</v>
      </c>
      <c r="C274" t="s">
        <v>5</v>
      </c>
      <c r="D274" t="s">
        <v>38</v>
      </c>
      <c r="E274" t="s">
        <v>44</v>
      </c>
      <c r="F274">
        <v>3921.04</v>
      </c>
      <c r="G274">
        <v>10</v>
      </c>
      <c r="H274">
        <v>295.2</v>
      </c>
    </row>
    <row r="275" spans="1:8" x14ac:dyDescent="0.3">
      <c r="A275" t="s">
        <v>69</v>
      </c>
      <c r="B275" s="7">
        <v>45463</v>
      </c>
      <c r="C275" t="s">
        <v>2</v>
      </c>
      <c r="D275" t="s">
        <v>38</v>
      </c>
      <c r="E275" t="s">
        <v>52</v>
      </c>
      <c r="F275">
        <v>572.30999999999995</v>
      </c>
      <c r="G275">
        <v>6</v>
      </c>
      <c r="H275">
        <v>72.790000000000006</v>
      </c>
    </row>
    <row r="276" spans="1:8" x14ac:dyDescent="0.3">
      <c r="A276" t="s">
        <v>68</v>
      </c>
      <c r="B276" s="7">
        <v>45326</v>
      </c>
      <c r="C276" t="s">
        <v>6</v>
      </c>
      <c r="D276" t="s">
        <v>38</v>
      </c>
      <c r="E276" t="s">
        <v>52</v>
      </c>
      <c r="F276">
        <v>541.65</v>
      </c>
      <c r="G276">
        <v>8</v>
      </c>
      <c r="H276">
        <v>53.96</v>
      </c>
    </row>
    <row r="277" spans="1:8" x14ac:dyDescent="0.3">
      <c r="A277" t="s">
        <v>67</v>
      </c>
      <c r="B277" s="7">
        <v>44943</v>
      </c>
      <c r="C277" t="s">
        <v>5</v>
      </c>
      <c r="D277" t="s">
        <v>38</v>
      </c>
      <c r="E277" t="s">
        <v>42</v>
      </c>
      <c r="F277">
        <v>4716.8500000000004</v>
      </c>
      <c r="G277">
        <v>6</v>
      </c>
      <c r="H277">
        <v>635.04999999999995</v>
      </c>
    </row>
    <row r="278" spans="1:8" x14ac:dyDescent="0.3">
      <c r="A278" t="s">
        <v>66</v>
      </c>
      <c r="B278" s="7">
        <v>45522</v>
      </c>
      <c r="C278" t="s">
        <v>1</v>
      </c>
      <c r="D278" t="s">
        <v>40</v>
      </c>
      <c r="E278" t="s">
        <v>52</v>
      </c>
      <c r="F278">
        <v>923.69</v>
      </c>
      <c r="G278">
        <v>6</v>
      </c>
      <c r="H278">
        <v>124.06</v>
      </c>
    </row>
    <row r="279" spans="1:8" x14ac:dyDescent="0.3">
      <c r="A279" t="s">
        <v>65</v>
      </c>
      <c r="B279" s="7">
        <v>45628</v>
      </c>
      <c r="C279" t="s">
        <v>5</v>
      </c>
      <c r="D279" t="s">
        <v>38</v>
      </c>
      <c r="E279" t="s">
        <v>37</v>
      </c>
      <c r="F279">
        <v>8110.48</v>
      </c>
      <c r="G279">
        <v>8</v>
      </c>
      <c r="H279">
        <v>785.04</v>
      </c>
    </row>
    <row r="280" spans="1:8" x14ac:dyDescent="0.3">
      <c r="A280" t="s">
        <v>64</v>
      </c>
      <c r="B280" s="7">
        <v>44991</v>
      </c>
      <c r="C280" t="s">
        <v>2</v>
      </c>
      <c r="D280" t="s">
        <v>38</v>
      </c>
      <c r="E280" t="s">
        <v>37</v>
      </c>
      <c r="F280">
        <v>461.39</v>
      </c>
      <c r="G280">
        <v>8</v>
      </c>
      <c r="H280">
        <v>48.85</v>
      </c>
    </row>
    <row r="281" spans="1:8" x14ac:dyDescent="0.3">
      <c r="A281" t="s">
        <v>63</v>
      </c>
      <c r="B281" s="7">
        <v>45250</v>
      </c>
      <c r="C281" t="s">
        <v>2</v>
      </c>
      <c r="D281" t="s">
        <v>38</v>
      </c>
      <c r="E281" t="s">
        <v>52</v>
      </c>
      <c r="F281">
        <v>3155.82</v>
      </c>
      <c r="G281">
        <v>5</v>
      </c>
      <c r="H281">
        <v>422</v>
      </c>
    </row>
    <row r="282" spans="1:8" x14ac:dyDescent="0.3">
      <c r="A282" t="s">
        <v>62</v>
      </c>
      <c r="B282" s="7">
        <v>45186</v>
      </c>
      <c r="C282" t="s">
        <v>6</v>
      </c>
      <c r="D282" t="s">
        <v>38</v>
      </c>
      <c r="E282" t="s">
        <v>44</v>
      </c>
      <c r="F282">
        <v>714.77</v>
      </c>
      <c r="G282">
        <v>1</v>
      </c>
      <c r="H282">
        <v>607.57000000000005</v>
      </c>
    </row>
    <row r="283" spans="1:8" x14ac:dyDescent="0.3">
      <c r="A283" t="s">
        <v>61</v>
      </c>
      <c r="B283" s="7">
        <v>45598</v>
      </c>
      <c r="C283" t="s">
        <v>5</v>
      </c>
      <c r="D283" t="s">
        <v>38</v>
      </c>
      <c r="E283" t="s">
        <v>52</v>
      </c>
      <c r="F283">
        <v>1985.73</v>
      </c>
      <c r="G283">
        <v>6</v>
      </c>
      <c r="H283">
        <v>233.11</v>
      </c>
    </row>
    <row r="284" spans="1:8" x14ac:dyDescent="0.3">
      <c r="A284" t="s">
        <v>60</v>
      </c>
      <c r="B284" s="7">
        <v>45377</v>
      </c>
      <c r="C284" t="s">
        <v>3</v>
      </c>
      <c r="D284" t="s">
        <v>40</v>
      </c>
      <c r="E284" t="s">
        <v>44</v>
      </c>
      <c r="F284">
        <v>2339.06</v>
      </c>
      <c r="G284">
        <v>7</v>
      </c>
      <c r="H284">
        <v>284.45</v>
      </c>
    </row>
    <row r="285" spans="1:8" x14ac:dyDescent="0.3">
      <c r="A285" t="s">
        <v>59</v>
      </c>
      <c r="B285" s="7">
        <v>45303</v>
      </c>
      <c r="C285" t="s">
        <v>1</v>
      </c>
      <c r="D285" t="s">
        <v>40</v>
      </c>
      <c r="E285" t="s">
        <v>44</v>
      </c>
      <c r="F285">
        <v>2325.42</v>
      </c>
      <c r="G285">
        <v>9</v>
      </c>
      <c r="H285">
        <v>228.04</v>
      </c>
    </row>
    <row r="286" spans="1:8" x14ac:dyDescent="0.3">
      <c r="A286" t="s">
        <v>58</v>
      </c>
      <c r="B286" s="7">
        <v>45367</v>
      </c>
      <c r="C286" t="s">
        <v>3</v>
      </c>
      <c r="D286" t="s">
        <v>40</v>
      </c>
      <c r="E286" t="s">
        <v>52</v>
      </c>
      <c r="F286">
        <v>9332.68</v>
      </c>
      <c r="G286">
        <v>10</v>
      </c>
      <c r="H286">
        <v>796.18</v>
      </c>
    </row>
    <row r="287" spans="1:8" x14ac:dyDescent="0.3">
      <c r="A287" t="s">
        <v>57</v>
      </c>
      <c r="B287" s="7">
        <v>45032</v>
      </c>
      <c r="C287" t="s">
        <v>5</v>
      </c>
      <c r="D287" t="s">
        <v>38</v>
      </c>
      <c r="E287" t="s">
        <v>42</v>
      </c>
      <c r="F287">
        <v>671.94</v>
      </c>
      <c r="G287">
        <v>2</v>
      </c>
      <c r="H287">
        <v>275.77999999999997</v>
      </c>
    </row>
    <row r="288" spans="1:8" x14ac:dyDescent="0.3">
      <c r="A288" t="s">
        <v>56</v>
      </c>
      <c r="B288" s="7">
        <v>45097</v>
      </c>
      <c r="C288" t="s">
        <v>3</v>
      </c>
      <c r="D288" t="s">
        <v>40</v>
      </c>
      <c r="E288" t="s">
        <v>44</v>
      </c>
      <c r="F288">
        <v>2628.92</v>
      </c>
      <c r="G288">
        <v>8</v>
      </c>
      <c r="H288">
        <v>294.20999999999998</v>
      </c>
    </row>
    <row r="289" spans="1:8" x14ac:dyDescent="0.3">
      <c r="A289" t="s">
        <v>55</v>
      </c>
      <c r="B289" s="7">
        <v>45208</v>
      </c>
      <c r="C289" t="s">
        <v>5</v>
      </c>
      <c r="D289" t="s">
        <v>38</v>
      </c>
      <c r="E289" t="s">
        <v>44</v>
      </c>
      <c r="F289">
        <v>106.41</v>
      </c>
      <c r="G289">
        <v>1</v>
      </c>
      <c r="H289">
        <v>78.53</v>
      </c>
    </row>
    <row r="290" spans="1:8" x14ac:dyDescent="0.3">
      <c r="A290" t="s">
        <v>54</v>
      </c>
      <c r="B290" s="7">
        <v>44958</v>
      </c>
      <c r="C290" t="s">
        <v>5</v>
      </c>
      <c r="D290" t="s">
        <v>38</v>
      </c>
      <c r="E290" t="s">
        <v>37</v>
      </c>
      <c r="F290">
        <v>2805.38</v>
      </c>
      <c r="G290">
        <v>3</v>
      </c>
      <c r="H290">
        <v>681.96</v>
      </c>
    </row>
    <row r="291" spans="1:8" x14ac:dyDescent="0.3">
      <c r="A291" t="s">
        <v>53</v>
      </c>
      <c r="B291" s="7">
        <v>45056</v>
      </c>
      <c r="C291" t="s">
        <v>3</v>
      </c>
      <c r="D291" t="s">
        <v>40</v>
      </c>
      <c r="E291" t="s">
        <v>52</v>
      </c>
      <c r="F291">
        <v>554.30999999999995</v>
      </c>
      <c r="G291">
        <v>2</v>
      </c>
      <c r="H291">
        <v>204.08</v>
      </c>
    </row>
    <row r="292" spans="1:8" x14ac:dyDescent="0.3">
      <c r="A292" t="s">
        <v>51</v>
      </c>
      <c r="B292" s="7">
        <v>45507</v>
      </c>
      <c r="C292" t="s">
        <v>5</v>
      </c>
      <c r="D292" t="s">
        <v>38</v>
      </c>
      <c r="E292" t="s">
        <v>44</v>
      </c>
      <c r="F292">
        <v>674.8</v>
      </c>
      <c r="G292">
        <v>1</v>
      </c>
      <c r="H292">
        <v>491.97</v>
      </c>
    </row>
    <row r="293" spans="1:8" x14ac:dyDescent="0.3">
      <c r="A293" t="s">
        <v>50</v>
      </c>
      <c r="B293" s="7">
        <v>45381</v>
      </c>
      <c r="C293" t="s">
        <v>5</v>
      </c>
      <c r="D293" t="s">
        <v>38</v>
      </c>
      <c r="E293" t="s">
        <v>42</v>
      </c>
      <c r="F293">
        <v>1226.94</v>
      </c>
      <c r="G293">
        <v>2</v>
      </c>
      <c r="H293">
        <v>467.66</v>
      </c>
    </row>
    <row r="294" spans="1:8" x14ac:dyDescent="0.3">
      <c r="A294" t="s">
        <v>49</v>
      </c>
      <c r="B294" s="7">
        <v>45592</v>
      </c>
      <c r="C294" t="s">
        <v>3</v>
      </c>
      <c r="D294" t="s">
        <v>40</v>
      </c>
      <c r="E294" t="s">
        <v>42</v>
      </c>
      <c r="F294">
        <v>1229.56</v>
      </c>
      <c r="G294">
        <v>5</v>
      </c>
      <c r="H294">
        <v>214.7</v>
      </c>
    </row>
    <row r="295" spans="1:8" x14ac:dyDescent="0.3">
      <c r="A295" t="s">
        <v>48</v>
      </c>
      <c r="B295" s="7">
        <v>45438</v>
      </c>
      <c r="C295" t="s">
        <v>1</v>
      </c>
      <c r="D295" t="s">
        <v>40</v>
      </c>
      <c r="E295" t="s">
        <v>37</v>
      </c>
      <c r="F295">
        <v>3837.1</v>
      </c>
      <c r="G295">
        <v>9</v>
      </c>
      <c r="H295">
        <v>321.85000000000002</v>
      </c>
    </row>
    <row r="296" spans="1:8" x14ac:dyDescent="0.3">
      <c r="A296" t="s">
        <v>47</v>
      </c>
      <c r="B296" s="7">
        <v>45647</v>
      </c>
      <c r="C296" t="s">
        <v>5</v>
      </c>
      <c r="D296" t="s">
        <v>38</v>
      </c>
      <c r="E296" t="s">
        <v>42</v>
      </c>
      <c r="F296">
        <v>2015.62</v>
      </c>
      <c r="G296">
        <v>8</v>
      </c>
      <c r="H296">
        <v>187.36</v>
      </c>
    </row>
    <row r="297" spans="1:8" x14ac:dyDescent="0.3">
      <c r="A297" t="s">
        <v>46</v>
      </c>
      <c r="B297" s="7">
        <v>45131</v>
      </c>
      <c r="C297" t="s">
        <v>1</v>
      </c>
      <c r="D297" t="s">
        <v>40</v>
      </c>
      <c r="E297" t="s">
        <v>44</v>
      </c>
      <c r="F297">
        <v>284.37</v>
      </c>
      <c r="G297">
        <v>2</v>
      </c>
      <c r="H297">
        <v>125.87</v>
      </c>
    </row>
    <row r="298" spans="1:8" x14ac:dyDescent="0.3">
      <c r="A298" t="s">
        <v>45</v>
      </c>
      <c r="B298" s="7">
        <v>45016</v>
      </c>
      <c r="C298" t="s">
        <v>2</v>
      </c>
      <c r="D298" t="s">
        <v>38</v>
      </c>
      <c r="E298" t="s">
        <v>44</v>
      </c>
      <c r="F298">
        <v>4491.2</v>
      </c>
      <c r="G298">
        <v>6</v>
      </c>
      <c r="H298">
        <v>540.91999999999996</v>
      </c>
    </row>
    <row r="299" spans="1:8" x14ac:dyDescent="0.3">
      <c r="A299" t="s">
        <v>43</v>
      </c>
      <c r="B299" s="7">
        <v>45234</v>
      </c>
      <c r="C299" t="s">
        <v>6</v>
      </c>
      <c r="D299" t="s">
        <v>38</v>
      </c>
      <c r="E299" t="s">
        <v>42</v>
      </c>
      <c r="F299">
        <v>2538.2800000000002</v>
      </c>
      <c r="G299">
        <v>3</v>
      </c>
      <c r="H299">
        <v>575.21</v>
      </c>
    </row>
    <row r="300" spans="1:8" x14ac:dyDescent="0.3">
      <c r="A300" t="s">
        <v>41</v>
      </c>
      <c r="B300" s="7">
        <v>45297</v>
      </c>
      <c r="C300" t="s">
        <v>1</v>
      </c>
      <c r="D300" t="s">
        <v>40</v>
      </c>
      <c r="E300" t="s">
        <v>37</v>
      </c>
      <c r="F300">
        <v>2620.85</v>
      </c>
      <c r="G300">
        <v>9</v>
      </c>
      <c r="H300">
        <v>194.91</v>
      </c>
    </row>
    <row r="301" spans="1:8" x14ac:dyDescent="0.3">
      <c r="A301" t="s">
        <v>39</v>
      </c>
      <c r="B301" s="7">
        <v>45432</v>
      </c>
      <c r="C301" t="s">
        <v>2</v>
      </c>
      <c r="D301" t="s">
        <v>38</v>
      </c>
      <c r="E301" t="s">
        <v>37</v>
      </c>
      <c r="F301">
        <v>400.67</v>
      </c>
      <c r="G301">
        <v>1</v>
      </c>
      <c r="H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89D2-4BAC-447A-8C53-4189321E36A1}">
  <dimension ref="A1:L53"/>
  <sheetViews>
    <sheetView workbookViewId="0">
      <selection activeCell="G8" sqref="G8"/>
    </sheetView>
  </sheetViews>
  <sheetFormatPr defaultRowHeight="14.4" x14ac:dyDescent="0.3"/>
  <cols>
    <col min="1" max="1" width="13.21875" bestFit="1" customWidth="1"/>
    <col min="2" max="2" width="15.5546875" bestFit="1" customWidth="1"/>
    <col min="3" max="3" width="7.6640625" bestFit="1" customWidth="1"/>
    <col min="4" max="4" width="10.77734375" bestFit="1" customWidth="1"/>
    <col min="5" max="5" width="12.109375" bestFit="1" customWidth="1"/>
    <col min="7" max="7" width="14.44140625" bestFit="1" customWidth="1"/>
    <col min="9" max="9" width="12.5546875" bestFit="1" customWidth="1"/>
    <col min="10" max="10" width="15.5546875" bestFit="1" customWidth="1"/>
    <col min="11" max="11" width="7.6640625" bestFit="1" customWidth="1"/>
    <col min="12" max="12" width="10.77734375" bestFit="1" customWidth="1"/>
  </cols>
  <sheetData>
    <row r="1" spans="1:12" x14ac:dyDescent="0.3">
      <c r="A1" s="11">
        <f ca="1">TODAY()</f>
        <v>46096</v>
      </c>
    </row>
    <row r="2" spans="1:12" x14ac:dyDescent="0.3">
      <c r="A2" t="s">
        <v>358</v>
      </c>
      <c r="G2" s="13" t="s">
        <v>359</v>
      </c>
      <c r="I2" t="s">
        <v>354</v>
      </c>
    </row>
    <row r="3" spans="1:12" ht="28.8" x14ac:dyDescent="0.55000000000000004">
      <c r="A3" s="4" t="s">
        <v>9</v>
      </c>
      <c r="B3" t="s">
        <v>11</v>
      </c>
      <c r="C3" t="s">
        <v>36</v>
      </c>
      <c r="D3" t="s">
        <v>35</v>
      </c>
      <c r="E3" t="s">
        <v>34</v>
      </c>
      <c r="G3" s="14">
        <f>Profit/Sales</f>
        <v>0.86548040558641237</v>
      </c>
      <c r="I3" s="4" t="s">
        <v>11</v>
      </c>
      <c r="J3" s="4" t="s">
        <v>10</v>
      </c>
    </row>
    <row r="4" spans="1:12" x14ac:dyDescent="0.3">
      <c r="A4" s="3" t="s">
        <v>8</v>
      </c>
      <c r="B4" s="9">
        <v>365643.99000000028</v>
      </c>
      <c r="C4" s="9">
        <v>724</v>
      </c>
      <c r="D4" s="9">
        <v>57541.749999999985</v>
      </c>
      <c r="E4" s="9">
        <v>308102.24000000028</v>
      </c>
      <c r="I4" s="4" t="s">
        <v>9</v>
      </c>
      <c r="J4" t="s">
        <v>8</v>
      </c>
      <c r="K4" t="s">
        <v>7</v>
      </c>
      <c r="L4" t="s">
        <v>0</v>
      </c>
    </row>
    <row r="5" spans="1:12" x14ac:dyDescent="0.3">
      <c r="A5" s="3" t="s">
        <v>7</v>
      </c>
      <c r="B5" s="9">
        <v>475604.68999999954</v>
      </c>
      <c r="C5" s="9">
        <v>899</v>
      </c>
      <c r="D5" s="9">
        <v>63978.150000000031</v>
      </c>
      <c r="E5" s="9">
        <v>411626.53999999951</v>
      </c>
      <c r="I5" s="3" t="s">
        <v>350</v>
      </c>
      <c r="J5" s="2">
        <v>109932.46999999999</v>
      </c>
      <c r="K5" s="2">
        <v>110028.64000000001</v>
      </c>
      <c r="L5" s="2">
        <v>219961.11</v>
      </c>
    </row>
    <row r="6" spans="1:12" x14ac:dyDescent="0.3">
      <c r="A6" s="3" t="s">
        <v>0</v>
      </c>
      <c r="B6" s="9">
        <v>841248.67999999982</v>
      </c>
      <c r="C6" s="9">
        <v>1623</v>
      </c>
      <c r="D6" s="9">
        <v>121519.90000000002</v>
      </c>
      <c r="E6" s="9">
        <v>719728.78000000084</v>
      </c>
      <c r="I6" s="3" t="s">
        <v>351</v>
      </c>
      <c r="J6" s="2">
        <v>70357.790000000008</v>
      </c>
      <c r="K6" s="2">
        <v>103062.17000000001</v>
      </c>
      <c r="L6" s="2">
        <v>173419.96000000002</v>
      </c>
    </row>
    <row r="7" spans="1:12" x14ac:dyDescent="0.3">
      <c r="I7" s="3" t="s">
        <v>352</v>
      </c>
      <c r="J7" s="2">
        <v>82404.929999999993</v>
      </c>
      <c r="K7" s="2">
        <v>141176.32000000001</v>
      </c>
      <c r="L7" s="2">
        <v>223581.25</v>
      </c>
    </row>
    <row r="8" spans="1:12" x14ac:dyDescent="0.3">
      <c r="I8" s="3" t="s">
        <v>353</v>
      </c>
      <c r="J8" s="2">
        <v>102948.79999999997</v>
      </c>
      <c r="K8" s="2">
        <v>121337.56</v>
      </c>
      <c r="L8" s="2">
        <v>224286.36</v>
      </c>
    </row>
    <row r="9" spans="1:12" x14ac:dyDescent="0.3">
      <c r="A9" s="12" t="s">
        <v>33</v>
      </c>
      <c r="B9" s="12"/>
      <c r="C9" s="12"/>
      <c r="D9" s="12"/>
      <c r="E9" s="12"/>
      <c r="F9" s="12"/>
      <c r="I9" s="3" t="s">
        <v>0</v>
      </c>
      <c r="J9" s="2">
        <v>365643.99</v>
      </c>
      <c r="K9" s="2">
        <v>475604.69</v>
      </c>
      <c r="L9" s="2">
        <v>841248.68</v>
      </c>
    </row>
    <row r="10" spans="1:12" x14ac:dyDescent="0.3">
      <c r="B10" t="s">
        <v>32</v>
      </c>
      <c r="C10" t="s">
        <v>31</v>
      </c>
      <c r="D10" t="s">
        <v>30</v>
      </c>
    </row>
    <row r="11" spans="1:12" x14ac:dyDescent="0.3">
      <c r="A11" t="s">
        <v>29</v>
      </c>
      <c r="B11" s="2">
        <f>GETPIVOTDATA("Sum of Sales",$A$3,"Years",2024)</f>
        <v>475604.68999999954</v>
      </c>
      <c r="C11" s="2">
        <f>GETPIVOTDATA("Sum of Sales",$A$3,"Years",2023)</f>
        <v>365643.99000000028</v>
      </c>
      <c r="D11" s="6">
        <f>(B11-C11)/C11</f>
        <v>0.30073159413887585</v>
      </c>
      <c r="E11" t="str">
        <f>IF(D11&gt;0,"▲","▼")&amp;TEXT(ABS(D11),"0%")&amp; " VS LY"</f>
        <v>▲30% VS LY</v>
      </c>
    </row>
    <row r="12" spans="1:12" x14ac:dyDescent="0.3">
      <c r="A12" t="s">
        <v>28</v>
      </c>
      <c r="B12" s="2">
        <f>GETPIVOTDATA("Sum of Quantity",$A$3,"Years",2024)</f>
        <v>899</v>
      </c>
      <c r="C12" s="2">
        <f>GETPIVOTDATA("Sum of Quantity",$A$3,"Years",2023)</f>
        <v>724</v>
      </c>
      <c r="D12" s="6">
        <f>(B12-C12)/C12</f>
        <v>0.24171270718232044</v>
      </c>
      <c r="E12" t="str">
        <f>IF(D12&gt;0,"▲","▼")&amp;TEXT(ABS(D12),"0%")&amp; " VS LY"</f>
        <v>▲24% VS LY</v>
      </c>
    </row>
    <row r="13" spans="1:12" x14ac:dyDescent="0.3">
      <c r="A13" t="s">
        <v>27</v>
      </c>
      <c r="B13" s="2">
        <f>GETPIVOTDATA("Sum of Cost",$A$3,"Years",2024)</f>
        <v>63978.150000000031</v>
      </c>
      <c r="C13" s="2">
        <f>GETPIVOTDATA("Sum of Cost",$A$3,"Years",2023)</f>
        <v>57541.749999999985</v>
      </c>
      <c r="D13" s="6">
        <f>(B13-C13)/C13</f>
        <v>0.11185617399540415</v>
      </c>
      <c r="E13" t="str">
        <f>IF(D13&gt;0,"▲","▼")&amp;TEXT(ABS(D13),"0%")&amp; " VS LY"</f>
        <v>▲11% VS LY</v>
      </c>
    </row>
    <row r="14" spans="1:12" x14ac:dyDescent="0.3">
      <c r="A14" t="s">
        <v>26</v>
      </c>
      <c r="B14" s="2">
        <f>GETPIVOTDATA("Sum of Profit",$A$3,"Years",2024)</f>
        <v>411626.53999999951</v>
      </c>
      <c r="C14" s="2">
        <f>GETPIVOTDATA("Sum of Profit",$A$3,"Years",2023)</f>
        <v>308102.24000000028</v>
      </c>
      <c r="D14" s="6">
        <f>(B14-C14)/C14</f>
        <v>0.33600632049932233</v>
      </c>
      <c r="E14" t="str">
        <f>IF(D14&gt;0,"▲","▼")&amp;TEXT(ABS(D14),"0%")&amp; " VS LY"</f>
        <v>▲34% VS LY</v>
      </c>
      <c r="I14" t="s">
        <v>355</v>
      </c>
    </row>
    <row r="15" spans="1:12" x14ac:dyDescent="0.3">
      <c r="I15" s="4" t="s">
        <v>36</v>
      </c>
      <c r="J15" s="4" t="s">
        <v>10</v>
      </c>
    </row>
    <row r="16" spans="1:12" x14ac:dyDescent="0.3">
      <c r="A16" t="s">
        <v>25</v>
      </c>
      <c r="I16" s="4" t="s">
        <v>9</v>
      </c>
      <c r="J16" t="s">
        <v>8</v>
      </c>
      <c r="K16" t="s">
        <v>7</v>
      </c>
      <c r="L16" t="s">
        <v>0</v>
      </c>
    </row>
    <row r="17" spans="1:12" x14ac:dyDescent="0.3">
      <c r="A17" s="4" t="s">
        <v>11</v>
      </c>
      <c r="B17" s="4" t="s">
        <v>10</v>
      </c>
      <c r="I17" s="3" t="s">
        <v>350</v>
      </c>
      <c r="J17" s="2">
        <v>202</v>
      </c>
      <c r="K17" s="2">
        <v>216</v>
      </c>
      <c r="L17" s="2">
        <v>418</v>
      </c>
    </row>
    <row r="18" spans="1:12" x14ac:dyDescent="0.3">
      <c r="A18" s="4" t="s">
        <v>9</v>
      </c>
      <c r="B18" t="s">
        <v>8</v>
      </c>
      <c r="C18" t="s">
        <v>7</v>
      </c>
      <c r="D18" t="s">
        <v>0</v>
      </c>
      <c r="I18" s="3" t="s">
        <v>351</v>
      </c>
      <c r="J18" s="2">
        <v>174</v>
      </c>
      <c r="K18" s="2">
        <v>189</v>
      </c>
      <c r="L18" s="2">
        <v>363</v>
      </c>
    </row>
    <row r="19" spans="1:12" x14ac:dyDescent="0.3">
      <c r="A19" s="5" t="s">
        <v>24</v>
      </c>
      <c r="B19" s="10">
        <v>29902.450000000004</v>
      </c>
      <c r="C19" s="10">
        <v>35755.53</v>
      </c>
      <c r="D19" s="2">
        <v>65657.98000000001</v>
      </c>
      <c r="I19" s="3" t="s">
        <v>352</v>
      </c>
      <c r="J19" s="2">
        <v>146</v>
      </c>
      <c r="K19" s="2">
        <v>252</v>
      </c>
      <c r="L19" s="2">
        <v>398</v>
      </c>
    </row>
    <row r="20" spans="1:12" x14ac:dyDescent="0.3">
      <c r="A20" s="5" t="s">
        <v>23</v>
      </c>
      <c r="B20" s="10">
        <v>27457.3</v>
      </c>
      <c r="C20" s="10">
        <v>38638.26</v>
      </c>
      <c r="D20" s="2">
        <v>66095.56</v>
      </c>
      <c r="I20" s="3" t="s">
        <v>353</v>
      </c>
      <c r="J20" s="2">
        <v>202</v>
      </c>
      <c r="K20" s="2">
        <v>242</v>
      </c>
      <c r="L20" s="2">
        <v>444</v>
      </c>
    </row>
    <row r="21" spans="1:12" x14ac:dyDescent="0.3">
      <c r="A21" s="5" t="s">
        <v>22</v>
      </c>
      <c r="B21" s="10">
        <v>52572.72</v>
      </c>
      <c r="C21" s="10">
        <v>35634.850000000006</v>
      </c>
      <c r="D21" s="2">
        <v>88207.57</v>
      </c>
      <c r="I21" s="3" t="s">
        <v>0</v>
      </c>
      <c r="J21" s="2">
        <v>724</v>
      </c>
      <c r="K21" s="2">
        <v>899</v>
      </c>
      <c r="L21" s="2">
        <v>1623</v>
      </c>
    </row>
    <row r="22" spans="1:12" x14ac:dyDescent="0.3">
      <c r="A22" s="5" t="s">
        <v>21</v>
      </c>
      <c r="B22" s="10">
        <v>36742.660000000003</v>
      </c>
      <c r="C22" s="10">
        <v>58242.11</v>
      </c>
      <c r="D22" s="2">
        <v>94984.77</v>
      </c>
    </row>
    <row r="23" spans="1:12" x14ac:dyDescent="0.3">
      <c r="A23" s="5" t="s">
        <v>20</v>
      </c>
      <c r="B23" s="10">
        <v>7677.8000000000011</v>
      </c>
      <c r="C23" s="10">
        <v>11831.57</v>
      </c>
      <c r="D23" s="2">
        <v>19509.370000000003</v>
      </c>
    </row>
    <row r="24" spans="1:12" x14ac:dyDescent="0.3">
      <c r="A24" s="5" t="s">
        <v>19</v>
      </c>
      <c r="B24" s="10">
        <v>25937.33</v>
      </c>
      <c r="C24" s="10">
        <v>32988.49</v>
      </c>
      <c r="D24" s="2">
        <v>58925.82</v>
      </c>
    </row>
    <row r="25" spans="1:12" x14ac:dyDescent="0.3">
      <c r="A25" s="5" t="s">
        <v>18</v>
      </c>
      <c r="B25" s="10">
        <v>7336.46</v>
      </c>
      <c r="C25" s="10">
        <v>53865.369999999988</v>
      </c>
      <c r="D25" s="2">
        <v>61201.829999999987</v>
      </c>
    </row>
    <row r="26" spans="1:12" x14ac:dyDescent="0.3">
      <c r="A26" s="5" t="s">
        <v>17</v>
      </c>
      <c r="B26" s="10">
        <v>44929.069999999992</v>
      </c>
      <c r="C26" s="10">
        <v>28180.969999999998</v>
      </c>
      <c r="D26" s="2">
        <v>73110.039999999994</v>
      </c>
      <c r="I26" t="s">
        <v>356</v>
      </c>
    </row>
    <row r="27" spans="1:12" x14ac:dyDescent="0.3">
      <c r="A27" s="5" t="s">
        <v>16</v>
      </c>
      <c r="B27" s="10">
        <v>30139.4</v>
      </c>
      <c r="C27" s="10">
        <v>59129.979999999996</v>
      </c>
      <c r="D27" s="2">
        <v>89269.38</v>
      </c>
      <c r="I27" s="4" t="s">
        <v>35</v>
      </c>
      <c r="J27" s="4" t="s">
        <v>10</v>
      </c>
    </row>
    <row r="28" spans="1:12" x14ac:dyDescent="0.3">
      <c r="A28" s="5" t="s">
        <v>15</v>
      </c>
      <c r="B28" s="10">
        <v>40537.450000000004</v>
      </c>
      <c r="C28" s="10">
        <v>50680.210000000006</v>
      </c>
      <c r="D28" s="2">
        <v>91217.66</v>
      </c>
      <c r="I28" s="4" t="s">
        <v>9</v>
      </c>
      <c r="J28" t="s">
        <v>8</v>
      </c>
      <c r="K28" t="s">
        <v>7</v>
      </c>
      <c r="L28" t="s">
        <v>0</v>
      </c>
    </row>
    <row r="29" spans="1:12" x14ac:dyDescent="0.3">
      <c r="A29" s="5" t="s">
        <v>14</v>
      </c>
      <c r="B29" s="10">
        <v>41939.229999999996</v>
      </c>
      <c r="C29" s="10">
        <v>48022.19</v>
      </c>
      <c r="D29" s="2">
        <v>89961.42</v>
      </c>
      <c r="I29" s="3" t="s">
        <v>350</v>
      </c>
      <c r="J29" s="2">
        <v>14858.35</v>
      </c>
      <c r="K29" s="2">
        <v>14980.41</v>
      </c>
      <c r="L29" s="2">
        <v>29838.760000000002</v>
      </c>
    </row>
    <row r="30" spans="1:12" x14ac:dyDescent="0.3">
      <c r="A30" s="5" t="s">
        <v>13</v>
      </c>
      <c r="B30" s="10">
        <v>20472.120000000003</v>
      </c>
      <c r="C30" s="10">
        <v>22635.16</v>
      </c>
      <c r="D30" s="2">
        <v>43107.28</v>
      </c>
      <c r="I30" s="3" t="s">
        <v>351</v>
      </c>
      <c r="J30" s="2">
        <v>11681.549999999996</v>
      </c>
      <c r="K30" s="2">
        <v>12698.280000000002</v>
      </c>
      <c r="L30" s="2">
        <v>24379.829999999998</v>
      </c>
    </row>
    <row r="31" spans="1:12" x14ac:dyDescent="0.3">
      <c r="A31" s="5" t="s">
        <v>0</v>
      </c>
      <c r="B31" s="2">
        <v>365643.99</v>
      </c>
      <c r="C31" s="2">
        <v>475604.68999999994</v>
      </c>
      <c r="D31" s="2">
        <v>841248.68000000017</v>
      </c>
      <c r="I31" s="3" t="s">
        <v>352</v>
      </c>
      <c r="J31" s="2">
        <v>15455.970000000003</v>
      </c>
      <c r="K31" s="2">
        <v>19318.900000000001</v>
      </c>
      <c r="L31" s="2">
        <v>34774.870000000003</v>
      </c>
    </row>
    <row r="32" spans="1:12" x14ac:dyDescent="0.3">
      <c r="I32" s="3" t="s">
        <v>353</v>
      </c>
      <c r="J32" s="2">
        <v>15545.880000000001</v>
      </c>
      <c r="K32" s="2">
        <v>16980.560000000001</v>
      </c>
      <c r="L32" s="2">
        <v>32526.440000000002</v>
      </c>
    </row>
    <row r="33" spans="1:12" x14ac:dyDescent="0.3">
      <c r="I33" s="3" t="s">
        <v>0</v>
      </c>
      <c r="J33" s="2">
        <v>57541.75</v>
      </c>
      <c r="K33" s="2">
        <v>63978.150000000009</v>
      </c>
      <c r="L33" s="2">
        <v>121519.9</v>
      </c>
    </row>
    <row r="34" spans="1:12" x14ac:dyDescent="0.3">
      <c r="A34" s="5" t="s">
        <v>12</v>
      </c>
    </row>
    <row r="35" spans="1:12" x14ac:dyDescent="0.3">
      <c r="A35" s="4" t="s">
        <v>11</v>
      </c>
      <c r="B35" s="4" t="s">
        <v>10</v>
      </c>
    </row>
    <row r="36" spans="1:12" x14ac:dyDescent="0.3">
      <c r="A36" s="4" t="s">
        <v>9</v>
      </c>
      <c r="B36" t="s">
        <v>8</v>
      </c>
      <c r="C36" t="s">
        <v>7</v>
      </c>
      <c r="D36" t="s">
        <v>0</v>
      </c>
    </row>
    <row r="37" spans="1:12" x14ac:dyDescent="0.3">
      <c r="A37" s="3" t="s">
        <v>6</v>
      </c>
      <c r="B37" s="10">
        <v>83732.830000000016</v>
      </c>
      <c r="C37" s="10">
        <v>81620.740000000005</v>
      </c>
      <c r="D37" s="2">
        <v>165353.57</v>
      </c>
    </row>
    <row r="38" spans="1:12" x14ac:dyDescent="0.3">
      <c r="A38" s="3" t="s">
        <v>5</v>
      </c>
      <c r="B38" s="10">
        <v>87038.010000000009</v>
      </c>
      <c r="C38" s="10">
        <v>55919.660000000018</v>
      </c>
      <c r="D38" s="2">
        <v>142957.67000000004</v>
      </c>
      <c r="I38" t="s">
        <v>357</v>
      </c>
    </row>
    <row r="39" spans="1:12" x14ac:dyDescent="0.3">
      <c r="A39" s="3" t="s">
        <v>4</v>
      </c>
      <c r="B39" s="10">
        <v>63549.779999999984</v>
      </c>
      <c r="C39" s="10">
        <v>64330.260000000024</v>
      </c>
      <c r="D39" s="2">
        <v>127880.04000000001</v>
      </c>
      <c r="I39" s="4" t="s">
        <v>34</v>
      </c>
      <c r="J39" s="4" t="s">
        <v>10</v>
      </c>
    </row>
    <row r="40" spans="1:12" x14ac:dyDescent="0.3">
      <c r="A40" s="3" t="s">
        <v>3</v>
      </c>
      <c r="B40" s="10">
        <v>37447.310000000005</v>
      </c>
      <c r="C40" s="10">
        <v>109494.29000000001</v>
      </c>
      <c r="D40" s="2">
        <v>146941.6</v>
      </c>
      <c r="I40" s="4" t="s">
        <v>9</v>
      </c>
      <c r="J40" t="s">
        <v>8</v>
      </c>
      <c r="K40" t="s">
        <v>7</v>
      </c>
      <c r="L40" t="s">
        <v>0</v>
      </c>
    </row>
    <row r="41" spans="1:12" x14ac:dyDescent="0.3">
      <c r="A41" s="3" t="s">
        <v>2</v>
      </c>
      <c r="B41" s="10">
        <v>42008.6</v>
      </c>
      <c r="C41" s="10">
        <v>105919.48000000004</v>
      </c>
      <c r="D41" s="2">
        <v>147928.08000000005</v>
      </c>
      <c r="I41" s="3" t="s">
        <v>350</v>
      </c>
      <c r="J41" s="2">
        <v>95074.119999999981</v>
      </c>
      <c r="K41" s="2">
        <v>95048.23000000001</v>
      </c>
      <c r="L41" s="2">
        <v>190122.34999999998</v>
      </c>
    </row>
    <row r="42" spans="1:12" x14ac:dyDescent="0.3">
      <c r="A42" s="3" t="s">
        <v>1</v>
      </c>
      <c r="B42" s="10">
        <v>51867.46</v>
      </c>
      <c r="C42" s="10">
        <v>58320.259999999995</v>
      </c>
      <c r="D42" s="2">
        <v>110187.72</v>
      </c>
      <c r="I42" s="3" t="s">
        <v>351</v>
      </c>
      <c r="J42" s="2">
        <v>58676.240000000013</v>
      </c>
      <c r="K42" s="2">
        <v>90363.890000000014</v>
      </c>
      <c r="L42" s="2">
        <v>149040.13</v>
      </c>
    </row>
    <row r="43" spans="1:12" x14ac:dyDescent="0.3">
      <c r="A43" s="3" t="s">
        <v>0</v>
      </c>
      <c r="B43" s="2">
        <v>365643.99</v>
      </c>
      <c r="C43" s="2">
        <v>475604.69000000012</v>
      </c>
      <c r="D43" s="2">
        <v>841248.68</v>
      </c>
      <c r="I43" s="3" t="s">
        <v>352</v>
      </c>
      <c r="J43" s="2">
        <v>66948.959999999992</v>
      </c>
      <c r="K43" s="2">
        <v>121857.42000000001</v>
      </c>
      <c r="L43" s="2">
        <v>188806.37999999995</v>
      </c>
    </row>
    <row r="44" spans="1:12" x14ac:dyDescent="0.3">
      <c r="I44" s="3" t="s">
        <v>353</v>
      </c>
      <c r="J44" s="2">
        <v>87402.919999999969</v>
      </c>
      <c r="K44" s="2">
        <v>104357</v>
      </c>
      <c r="L44" s="2">
        <v>191759.91999999995</v>
      </c>
    </row>
    <row r="45" spans="1:12" x14ac:dyDescent="0.3">
      <c r="I45" s="3" t="s">
        <v>0</v>
      </c>
      <c r="J45" s="2">
        <v>308102.24000000011</v>
      </c>
      <c r="K45" s="2">
        <v>411626.53999999975</v>
      </c>
      <c r="L45" s="2">
        <v>719728.7799999998</v>
      </c>
    </row>
    <row r="46" spans="1:12" x14ac:dyDescent="0.3">
      <c r="A46" s="3" t="s">
        <v>349</v>
      </c>
    </row>
    <row r="47" spans="1:12" x14ac:dyDescent="0.3">
      <c r="A47" s="4" t="s">
        <v>11</v>
      </c>
      <c r="B47" s="4" t="s">
        <v>10</v>
      </c>
    </row>
    <row r="48" spans="1:12" x14ac:dyDescent="0.3">
      <c r="A48" s="4" t="s">
        <v>9</v>
      </c>
      <c r="B48" t="s">
        <v>8</v>
      </c>
      <c r="C48" t="s">
        <v>7</v>
      </c>
      <c r="D48" t="s">
        <v>0</v>
      </c>
    </row>
    <row r="49" spans="1:4" x14ac:dyDescent="0.3">
      <c r="A49" s="3" t="s">
        <v>52</v>
      </c>
      <c r="B49" s="10">
        <v>61994.55999999999</v>
      </c>
      <c r="C49" s="10">
        <v>121472.34000000003</v>
      </c>
      <c r="D49" s="2">
        <v>183466.90000000002</v>
      </c>
    </row>
    <row r="50" spans="1:4" x14ac:dyDescent="0.3">
      <c r="A50" s="3" t="s">
        <v>42</v>
      </c>
      <c r="B50" s="10">
        <v>88852.969999999987</v>
      </c>
      <c r="C50" s="10">
        <v>93410.199999999968</v>
      </c>
      <c r="D50" s="2">
        <v>182263.16999999995</v>
      </c>
    </row>
    <row r="51" spans="1:4" x14ac:dyDescent="0.3">
      <c r="A51" s="3" t="s">
        <v>44</v>
      </c>
      <c r="B51" s="10">
        <v>123927.84999999996</v>
      </c>
      <c r="C51" s="10">
        <v>145397.91999999998</v>
      </c>
      <c r="D51" s="2">
        <v>269325.76999999996</v>
      </c>
    </row>
    <row r="52" spans="1:4" x14ac:dyDescent="0.3">
      <c r="A52" s="3" t="s">
        <v>37</v>
      </c>
      <c r="B52" s="10">
        <v>90868.61</v>
      </c>
      <c r="C52" s="10">
        <v>115324.23000000001</v>
      </c>
      <c r="D52" s="2">
        <v>206192.84000000003</v>
      </c>
    </row>
    <row r="53" spans="1:4" x14ac:dyDescent="0.3">
      <c r="A53" s="3" t="s">
        <v>0</v>
      </c>
      <c r="B53" s="2">
        <v>365643.98999999993</v>
      </c>
      <c r="C53" s="2">
        <v>475604.68999999994</v>
      </c>
      <c r="D53" s="2">
        <v>841248.67999999993</v>
      </c>
    </row>
  </sheetData>
  <mergeCells count="1">
    <mergeCell ref="A9:F9"/>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D678-B393-432C-AA04-98F7972D62E9}">
  <dimension ref="A1"/>
  <sheetViews>
    <sheetView showGridLines="0" tabSelected="1" zoomScale="80" zoomScaleNormal="80" workbookViewId="0">
      <selection activeCell="Y15" sqref="Y15"/>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8810C0-CF1D-472E-8AE8-2DF60C8607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DATASET</vt:lpstr>
      <vt:lpstr>PIVOT TABLES &amp; KPIs</vt:lpstr>
      <vt:lpstr>DASHBOARD</vt:lpstr>
      <vt:lpstr>Cost</vt:lpstr>
      <vt:lpstr>Profit</vt:lpstr>
      <vt:lpstr>profit_margin</vt:lpstr>
      <vt:lpstr>profitm</vt:lpstr>
      <vt:lpstr>Qty</vt:lpstr>
      <vt:lpstr>Sales</vt:lpstr>
      <vt:lpstr>Sales_Data</vt:lpstr>
      <vt:lpstr>Tdate</vt:lpstr>
      <vt:lpstr>YOYcost</vt:lpstr>
      <vt:lpstr>YOYprofit</vt:lpstr>
      <vt:lpstr>YOYqty</vt:lpstr>
      <vt:lpstr>YOYsales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Chimezie</dc:creator>
  <cp:lastModifiedBy>Franklin Chimezie</cp:lastModifiedBy>
  <dcterms:created xsi:type="dcterms:W3CDTF">2026-03-12T19:01:39Z</dcterms:created>
  <dcterms:modified xsi:type="dcterms:W3CDTF">2026-03-15T15:59:30Z</dcterms:modified>
</cp:coreProperties>
</file>